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4d8367fe4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" sheetId="1" r:id="Rea8587116ead4882"/>
    <x:sheet xmlns:r="http://schemas.openxmlformats.org/officeDocument/2006/relationships" name="Q2 2026 Activity" sheetId="2" r:id="Re8342027e6054d96"/>
    <x:sheet xmlns:r="http://schemas.openxmlformats.org/officeDocument/2006/relationships" name="Field Definitions" sheetId="3" r:id="Rfb621290bbbf411f"/>
    <x:sheet xmlns:r="http://schemas.openxmlformats.org/officeDocument/2006/relationships" name="Read Me" sheetId="4" r:id="Rd785027d1ebf4a9b"/>
    <x:sheet xmlns:r="http://schemas.openxmlformats.org/officeDocument/2006/relationships" name="June 30 Target" sheetId="5" r:id="Ra3740eefea074dfd"/>
    <x:sheet xmlns:r="http://schemas.openxmlformats.org/officeDocument/2006/relationships" name="Value Bridge" sheetId="6" r:id="R8ecf3a17206f4a97"/>
    <x:sheet xmlns:r="http://schemas.openxmlformats.org/officeDocument/2006/relationships" name="Scenario Guide" sheetId="7" r:id="R7c46dc8ecf554520"/>
    <x:sheet xmlns:r="http://schemas.openxmlformats.org/officeDocument/2006/relationships" name="Checks" sheetId="8" r:id="R8d05100177e1430c"/>
  </x:sheets>
</x:workbook>
</file>

<file path=xl/comments1.xml><?xml version="1.0" encoding="utf-8"?>
<x:comments xmlns:x="http://schemas.openxmlformats.org/spreadsheetml/2006/main">
  <x:authors>
    <x:author>tc={9C3A25DF-A7A4-417D-BE20-A64891FF899E}</x:author>
    <x:author>tc={1117250C-C9E1-487A-85E1-AE1ACB68B245}</x:author>
    <x:author>tc={2E208BC8-0C9C-4588-86D1-70012A11254F}</x:author>
    <x:author>tc={E6FE6E1E-C742-4681-96EB-464333EF02E8}</x:author>
    <x:author>tc={F8B0D141-6B84-4942-A46F-31452140D56E}</x:author>
    <x:author>tc={69995A11-9E28-4F3E-A50A-C333E3EC1C17}</x:author>
    <x:author>tc={25DB60B5-4071-45A8-9FCB-AAA1D53C1D58}</x:author>
    <x:author>tc={1345E8AB-AE25-4B0C-87CB-F038DB8D8A3B}</x:author>
    <x:author>tc={650808E4-579A-46B1-9BE7-2FB4D1374477}</x:author>
    <x:author>tc={E576946B-6D5D-4285-A2FB-2D36B74CAF38}</x:author>
    <x:author>tc={6744F750-DA54-47DD-A22B-8E003311A974}</x:author>
    <x:author>tc={045C9AC3-BE6B-4D41-ADCD-FC146AB4F91A}</x:author>
    <x:author>tc={28063850-3BA3-48E6-A931-1C5D5AF5447D}</x:author>
    <x:author>tc={FADC17B8-4BC9-4D8C-B9CB-766542E10DEA}</x:author>
    <x:author>tc={12A234DC-F935-4F41-B2AD-089D2BBDDBD0}</x:author>
    <x:author>tc={ACB09752-DC57-43E7-86A5-00E495ED2B7F}</x:author>
    <x:author>tc={43BE9A94-2551-4423-96D8-9C55BC380558}</x:author>
    <x:author>tc={37977B14-B7B7-4EA8-BCFE-63AA6B3F5C10}</x:author>
    <x:author>tc={BF9A56FD-6294-4657-848A-7D2259A63FB9}</x:author>
    <x:author>tc={617498C8-CEA0-4E1C-9999-849A4B187B05}</x:author>
    <x:author>tc={0D9AB2A7-EE33-412E-B4B6-B4DD2CC0F90C}</x:author>
    <x:author>tc={7D812CA8-A398-4863-A8D8-47F69B48E30D}</x:author>
    <x:author>tc={63733A25-FA4E-43B1-897A-34086C4C17BB}</x:author>
    <x:author>tc={B65BBF47-A894-4BBB-8954-44ED77E0BAE6}</x:author>
    <x:author>tc={3C7571DD-DB7D-4FAE-B02C-D29221DED286}</x:author>
    <x:author>tc={9334051A-93C2-4F79-AA26-ECFD868655EE}</x:author>
    <x:author>tc={6169D441-F205-4B9F-8037-2790EDA3787A}</x:author>
    <x:author>tc={17DB3056-A31D-45E4-BA63-287CAF4DEBC0}</x:author>
    <x:author>tc={4E5841EE-0C64-4436-A53F-ED5FEB848931}</x:author>
    <x:author>tc={B8D628B2-72C4-42A8-B258-8AD460AD1B74}</x:author>
    <x:author>tc={D78B0998-0C99-4E7A-81DA-28944297B687}</x:author>
    <x:author>tc={7D30B735-CDCB-4DDE-9E0A-CC42FFEFF13F}</x:author>
    <x:author>tc={0248E3C0-76CD-4779-902F-3FCB150062CD}</x:author>
    <x:author>tc={8A86286E-2830-431F-A055-13DF2A2151BF}</x:author>
    <x:author>tc={EF9D68FB-D9D1-46D0-8341-6010EBED0C96}</x:author>
    <x:author>tc={2603CBD4-2858-4829-A4C9-57981040C0CD}</x:author>
    <x:author>tc={53CAB0D0-B4B7-4772-A95F-EE8A53110AF8}</x:author>
    <x:author>tc={5A455C0C-709A-4DDA-9690-576867804EA7}</x:author>
    <x:author>tc={F8FBCCFB-A70F-40EA-936D-4CE5CAE33BCF}</x:author>
    <x:author>tc={1A1D6E2D-B04D-4915-A49B-CAAE61B36943}</x:author>
    <x:author>tc={41A0F7F5-65A5-4E19-803E-715D2055FA56}</x:author>
    <x:author>tc={902702AE-A012-4A22-9C7A-157E14A7DC7B}</x:author>
    <x:author>tc={ED5F194A-6C69-45F8-816D-27D3227214B9}</x:author>
    <x:author>tc={0C677A63-D368-4D0A-B5DC-9A2F9992451E}</x:author>
    <x:author>tc={54997D76-7307-41E6-AFB0-6EBF9F96621B}</x:author>
    <x:author>tc={C294809A-2C9C-4560-A497-E4FC8C8906E9}</x:author>
    <x:author>tc={013F7BED-B63E-4E3E-B1E6-95064CA85C3A}</x:author>
    <x:author>tc={97485F68-2C53-426E-A5E8-FDED212DAE0F}</x:author>
  </x:authors>
  <x:commentList>
    <x:comment ref="L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D4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G4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H4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I4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J4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K4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E6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G60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H60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I60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K60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L60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N60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O6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P6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Q60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R60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T60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D67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G67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H6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I6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K67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D68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G68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H68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I68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J68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K68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G71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H71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I71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K71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E82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K82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N8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O8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P82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Q82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R82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T82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D94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G94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H94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I94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J94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  <x:comment ref="K94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March 31 assumption backcast for Q2 test; see Scenario Guide and Value Bridge.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/dd/yyyy"/>
    <x:numFmt numFmtId="201" formatCode="0.0%"/>
    <x:numFmt numFmtId="202" formatCode="0.0;[Red](0.0);0.0"/>
    <x:numFmt numFmtId="203" formatCode="0.00&quot;x&quot;"/>
    <x:numFmt numFmtId="204" formatCode="0"/>
    <x:numFmt numFmtId="205" formatCode="0.0000"/>
    <x:numFmt numFmtId="206" formatCode="0.0000;[Red](0.0000);0.0000"/>
  </x:numFmts>
  <x:fonts count="8">
    <x:font>
      <x:sz val="11"/>
      <x:name val="Carlito"/>
    </x:font>
    <x:font>
      <x:sz val="11"/>
      <x:name val="Calibri"/>
    </x:font>
    <x:font>
      <x:sz val="11"/>
      <x:color rgb="FFFFFFFF"/>
      <x:name val="Calibri"/>
    </x:font>
    <x:font>
      <x:b/>
      <x:sz val="11"/>
      <x:color rgb="FFFFFFFF"/>
      <x:name val="Calibri"/>
    </x:font>
    <x:font>
      <x:sz val="11"/>
      <x:color rgb="FF008000"/>
      <x:name val="Calibri"/>
    </x:font>
    <x:font>
      <x:sz val="11"/>
      <x:color rgb="FF000000"/>
      <x:name val="Calibri"/>
    </x:font>
    <x:font>
      <x:b/>
      <x:sz val="11"/>
      <x:name val="Carlito"/>
    </x:font>
    <x:font>
      <x:sz val="11"/>
      <x:color rgb="FF0000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2C3E"/>
      </x:patternFill>
    </x:fill>
    <x:fill>
      <x:patternFill patternType="solid">
        <x:fgColor rgb="FFF1F5F7"/>
      </x:patternFill>
    </x:fill>
    <x:fill>
      <x:patternFill patternType="solid">
        <x:fgColor rgb="FFDCE8EF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5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6" fontId="4" fillId="0" borderId="0" xfId="0" applyNumberFormat="1" applyFont="1" applyFill="1" applyBorder="1" applyAlignment="1">
      <x:alignment vertical="center" wrapText="1"/>
    </x:xf>
    <x:xf numFmtId="206" fontId="5" fillId="0" borderId="0" xfId="0" applyNumberFormat="1" applyFont="1" applyFill="1" applyBorder="1" applyAlignment="1">
      <x:alignment vertical="center" wrapText="1"/>
    </x:xf>
    <x:xf numFmtId="206" fontId="4" fillId="3" borderId="0" xfId="0" applyNumberFormat="1" applyFont="1" applyFill="1" applyBorder="1" applyAlignment="1">
      <x:alignment vertical="center" wrapText="1"/>
    </x:xf>
    <x:xf numFmtId="206" fontId="5" fillId="3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0" fontId="0" fillId="4" borderId="0" xfId="0" applyNumberFormat="1" applyFont="1" applyFill="1" applyBorder="1"/>
    <x:xf numFmtId="206" fontId="0" fillId="4" borderId="0" xfId="0" applyNumberFormat="1" applyFont="1" applyFill="1" applyBorder="1"/>
    <x:xf numFmtId="0" fontId="6" fillId="4" borderId="0" xfId="0" applyNumberFormat="1" applyFont="1" applyFill="1" applyBorder="1"/>
    <x:xf numFmtId="206" fontId="6" fillId="4" borderId="0" xfId="0" applyNumberFormat="1" applyFont="1" applyFill="1" applyBorder="1"/>
    <x:xf numFmtId="202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4" fontId="7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200" fontId="7" fillId="3" borderId="0" xfId="0" applyNumberFormat="1" applyFont="1" applyFill="1" applyBorder="1" applyAlignment="1">
      <x:alignment vertical="center" wrapText="1"/>
    </x:xf>
    <x:xf numFmtId="202" fontId="7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DDEE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e9843ea2c4761" /><Relationship Type="http://schemas.openxmlformats.org/officeDocument/2006/relationships/theme" Target="/xl/theme/theme1.xml" Id="Ra18303c9e66046fc" /><Relationship Type="http://schemas.openxmlformats.org/officeDocument/2006/relationships/sharedStrings" Target="/xl/sharedStrings.xml" Id="Raed26680eb124068" /><Relationship Type="http://schemas.openxmlformats.org/officeDocument/2006/relationships/worksheet" Target="/xl/worksheets/sheet1.xml" Id="Rea8587116ead4882" /><Relationship Type="http://schemas.openxmlformats.org/officeDocument/2006/relationships/worksheet" Target="/xl/worksheets/sheet2.xml" Id="Re8342027e6054d96" /><Relationship Type="http://schemas.openxmlformats.org/officeDocument/2006/relationships/worksheet" Target="/xl/worksheets/sheet3.xml" Id="Rfb621290bbbf411f" /><Relationship Type="http://schemas.openxmlformats.org/officeDocument/2006/relationships/worksheet" Target="/xl/worksheets/sheet4.xml" Id="Rd785027d1ebf4a9b" /><Relationship Type="http://schemas.openxmlformats.org/officeDocument/2006/relationships/worksheet" Target="/xl/worksheets/sheet5.xml" Id="Ra3740eefea074dfd" /><Relationship Type="http://schemas.openxmlformats.org/officeDocument/2006/relationships/worksheet" Target="/xl/worksheets/sheet6.xml" Id="R8ecf3a17206f4a97" /><Relationship Type="http://schemas.openxmlformats.org/officeDocument/2006/relationships/worksheet" Target="/xl/worksheets/sheet7.xml" Id="R7c46dc8ecf554520" /><Relationship Type="http://schemas.openxmlformats.org/officeDocument/2006/relationships/worksheet" Target="/xl/worksheets/sheet8.xml" Id="R8d05100177e1430c" /><Relationship Type="http://schemas.microsoft.com/office/2017/10/relationships/person" Target="/xl/persons/person.xml" Id="R1062843119234f4e" /></Relationships>
</file>

<file path=xl/persons/person.xml><?xml version="1.0" encoding="utf-8"?>
<xltc:personList xmlns:xltc="http://schemas.microsoft.com/office/spreadsheetml/2018/threadedcomments">
  <xltc:person displayName="Jackson Lagerwey" id="{EDB6373B-AFA0-4D2A-A6E5-744383549083}"/>
</xltc:personList>
</file>

<file path=xl/tables/table1.xml><?xml version="1.0" encoding="utf-8"?>
<x:table xmlns:x="http://schemas.openxmlformats.org/spreadsheetml/2006/main" id="1" name="OpeningPortfolio" displayName="OpeningPortfolio" ref="A1:T99" headerRowCount="1" totalsRowCount="0" totalsRowShown="0">
  <x:tableColumns count="20">
    <x:tableColumn id="1" name="Company"/>
    <x:tableColumn id="2" name="Sector"/>
    <x:tableColumn id="3" name="Fund"/>
    <x:tableColumn id="4" name="Stage"/>
    <x:tableColumn id="5" name="Status"/>
    <x:tableColumn id="6" name="First Investment"/>
    <x:tableColumn id="7" name="Latest Round"/>
    <x:tableColumn id="8" name="Latest Post-Money ($M)"/>
    <x:tableColumn id="9" name="Invested ($M)"/>
    <x:tableColumn id="10" name="Ownership (FD %)"/>
    <x:tableColumn id="11" name="Prior Mark ($M)"/>
    <x:tableColumn id="12" name="Realized ($M)"/>
    <x:tableColumn id="13" name="MOIC (x)"/>
    <x:tableColumn id="14" name="ARR ($M)"/>
    <x:tableColumn id="15" name="ARR Growth (YoY %)"/>
    <x:tableColumn id="16" name="Gross Margin (%)"/>
    <x:tableColumn id="17" name="Net Burn ($M/mo)"/>
    <x:tableColumn id="18" name="Cash ($M)"/>
    <x:tableColumn id="19" name="Runway (mo)"/>
    <x:tableColumn id="20" name="Head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Q2Activity" displayName="Q2Activity" ref="A1:I20" headerRowCount="1" totalsRowCount="0" totalsRowShown="0">
  <x:tableColumns count="9">
    <x:tableColumn id="1" name="Date"/>
    <x:tableColumn id="2" name="Company"/>
    <x:tableColumn id="3" name="Event"/>
    <x:tableColumn id="4" name="Detail"/>
    <x:tableColumn id="5" name="Post-Money / Deal Value ($M)"/>
    <x:tableColumn id="6" name="HC Investment ($M)"/>
    <x:tableColumn id="7" name="HC Ownership After (FD %)"/>
    <x:tableColumn id="8" name="Proceeds to HC ($M)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losingTarget" displayName="ClosingTarget" ref="A1:T101" headerRowCount="1" totalsRowCount="0" totalsRowShown="0">
  <x:tableColumns count="20">
    <x:tableColumn id="1" name="Company"/>
    <x:tableColumn id="2" name="Sector"/>
    <x:tableColumn id="3" name="Fund"/>
    <x:tableColumn id="4" name="Stage"/>
    <x:tableColumn id="5" name="Status"/>
    <x:tableColumn id="6" name="First Investment"/>
    <x:tableColumn id="7" name="Latest Round"/>
    <x:tableColumn id="8" name="Latest Post-Money ($M)"/>
    <x:tableColumn id="9" name="Invested ($M)"/>
    <x:tableColumn id="10" name="Ownership (FD %)"/>
    <x:tableColumn id="11" name="Prior Mark ($M)"/>
    <x:tableColumn id="12" name="Realized ($M)"/>
    <x:tableColumn id="13" name="MOIC (x)"/>
    <x:tableColumn id="14" name="ARR ($M)"/>
    <x:tableColumn id="15" name="ARR Growth (YoY %)"/>
    <x:tableColumn id="16" name="Gross Margin (%)"/>
    <x:tableColumn id="17" name="Net Burn ($M/mo)"/>
    <x:tableColumn id="18" name="Cash ($M)"/>
    <x:tableColumn id="19" name="Runway (mo)"/>
    <x:tableColumn id="20" name="Head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L12" dT="2026-09-07T18:09:01.695" personId="{EDB6373B-AFA0-4D2A-A6E5-744383549083}" id="{9C3A25DF-A7A4-417D-BE20-A64891FF899E}">
    <xltc:text>Synthetic March 31 assumption backcast for Q2 test; see Scenario Guide and Value Bridge.</xltc:text>
  </xltc:threadedComment>
  <xltc:threadedComment ref="D46" dT="2026-09-07T18:09:01.697" personId="{EDB6373B-AFA0-4D2A-A6E5-744383549083}" id="{1117250C-C9E1-487A-85E1-AE1ACB68B245}">
    <xltc:text>Synthetic March 31 assumption backcast for Q2 test; see Scenario Guide and Value Bridge.</xltc:text>
  </xltc:threadedComment>
  <xltc:threadedComment ref="G46" dT="2026-09-07T18:09:01.697" personId="{EDB6373B-AFA0-4D2A-A6E5-744383549083}" id="{2E208BC8-0C9C-4588-86D1-70012A11254F}">
    <xltc:text>Synthetic March 31 assumption backcast for Q2 test; see Scenario Guide and Value Bridge.</xltc:text>
  </xltc:threadedComment>
  <xltc:threadedComment ref="H46" dT="2026-09-07T18:09:01.697" personId="{EDB6373B-AFA0-4D2A-A6E5-744383549083}" id="{E6FE6E1E-C742-4681-96EB-464333EF02E8}">
    <xltc:text>Synthetic March 31 assumption backcast for Q2 test; see Scenario Guide and Value Bridge.</xltc:text>
  </xltc:threadedComment>
  <xltc:threadedComment ref="I46" dT="2026-09-07T18:09:01.697" personId="{EDB6373B-AFA0-4D2A-A6E5-744383549083}" id="{F8B0D141-6B84-4942-A46F-31452140D56E}">
    <xltc:text>Synthetic March 31 assumption backcast for Q2 test; see Scenario Guide and Value Bridge.</xltc:text>
  </xltc:threadedComment>
  <xltc:threadedComment ref="J46" dT="2026-09-07T18:09:01.698" personId="{EDB6373B-AFA0-4D2A-A6E5-744383549083}" id="{69995A11-9E28-4F3E-A50A-C333E3EC1C17}">
    <xltc:text>Synthetic March 31 assumption backcast for Q2 test; see Scenario Guide and Value Bridge.</xltc:text>
  </xltc:threadedComment>
  <xltc:threadedComment ref="K46" dT="2026-09-07T18:09:01.698" personId="{EDB6373B-AFA0-4D2A-A6E5-744383549083}" id="{25DB60B5-4071-45A8-9FCB-AAA1D53C1D58}">
    <xltc:text>Synthetic March 31 assumption backcast for Q2 test; see Scenario Guide and Value Bridge.</xltc:text>
  </xltc:threadedComment>
  <xltc:threadedComment ref="E60" dT="2026-09-07T18:09:01.698" personId="{EDB6373B-AFA0-4D2A-A6E5-744383549083}" id="{1345E8AB-AE25-4B0C-87CB-F038DB8D8A3B}">
    <xltc:text>Synthetic March 31 assumption backcast for Q2 test; see Scenario Guide and Value Bridge.</xltc:text>
  </xltc:threadedComment>
  <xltc:threadedComment ref="G60" dT="2026-09-07T18:09:01.698" personId="{EDB6373B-AFA0-4D2A-A6E5-744383549083}" id="{650808E4-579A-46B1-9BE7-2FB4D1374477}">
    <xltc:text>Synthetic March 31 assumption backcast for Q2 test; see Scenario Guide and Value Bridge.</xltc:text>
  </xltc:threadedComment>
  <xltc:threadedComment ref="H60" dT="2026-09-07T18:09:01.698" personId="{EDB6373B-AFA0-4D2A-A6E5-744383549083}" id="{E576946B-6D5D-4285-A2FB-2D36B74CAF38}">
    <xltc:text>Synthetic March 31 assumption backcast for Q2 test; see Scenario Guide and Value Bridge.</xltc:text>
  </xltc:threadedComment>
  <xltc:threadedComment ref="I60" dT="2026-09-07T18:09:01.698" personId="{EDB6373B-AFA0-4D2A-A6E5-744383549083}" id="{6744F750-DA54-47DD-A22B-8E003311A974}">
    <xltc:text>Synthetic March 31 assumption backcast for Q2 test; see Scenario Guide and Value Bridge.</xltc:text>
  </xltc:threadedComment>
  <xltc:threadedComment ref="K60" dT="2026-09-07T18:09:01.698" personId="{EDB6373B-AFA0-4D2A-A6E5-744383549083}" id="{045C9AC3-BE6B-4D41-ADCD-FC146AB4F91A}">
    <xltc:text>Synthetic March 31 assumption backcast for Q2 test; see Scenario Guide and Value Bridge.</xltc:text>
  </xltc:threadedComment>
  <xltc:threadedComment ref="L60" dT="2026-09-07T18:09:01.698" personId="{EDB6373B-AFA0-4D2A-A6E5-744383549083}" id="{28063850-3BA3-48E6-A931-1C5D5AF5447D}">
    <xltc:text>Synthetic March 31 assumption backcast for Q2 test; see Scenario Guide and Value Bridge.</xltc:text>
  </xltc:threadedComment>
  <xltc:threadedComment ref="N60" dT="2026-09-07T18:09:01.698" personId="{EDB6373B-AFA0-4D2A-A6E5-744383549083}" id="{FADC17B8-4BC9-4D8C-B9CB-766542E10DEA}">
    <xltc:text>Synthetic March 31 assumption backcast for Q2 test; see Scenario Guide and Value Bridge.</xltc:text>
  </xltc:threadedComment>
  <xltc:threadedComment ref="O60" dT="2026-09-07T18:09:01.698" personId="{EDB6373B-AFA0-4D2A-A6E5-744383549083}" id="{12A234DC-F935-4F41-B2AD-089D2BBDDBD0}">
    <xltc:text>Synthetic March 31 assumption backcast for Q2 test; see Scenario Guide and Value Bridge.</xltc:text>
  </xltc:threadedComment>
  <xltc:threadedComment ref="P60" dT="2026-09-07T18:09:01.698" personId="{EDB6373B-AFA0-4D2A-A6E5-744383549083}" id="{ACB09752-DC57-43E7-86A5-00E495ED2B7F}">
    <xltc:text>Synthetic March 31 assumption backcast for Q2 test; see Scenario Guide and Value Bridge.</xltc:text>
  </xltc:threadedComment>
  <xltc:threadedComment ref="Q60" dT="2026-09-07T18:09:01.698" personId="{EDB6373B-AFA0-4D2A-A6E5-744383549083}" id="{43BE9A94-2551-4423-96D8-9C55BC380558}">
    <xltc:text>Synthetic March 31 assumption backcast for Q2 test; see Scenario Guide and Value Bridge.</xltc:text>
  </xltc:threadedComment>
  <xltc:threadedComment ref="R60" dT="2026-09-07T18:09:01.698" personId="{EDB6373B-AFA0-4D2A-A6E5-744383549083}" id="{37977B14-B7B7-4EA8-BCFE-63AA6B3F5C10}">
    <xltc:text>Synthetic March 31 assumption backcast for Q2 test; see Scenario Guide and Value Bridge.</xltc:text>
  </xltc:threadedComment>
  <xltc:threadedComment ref="T60" dT="2026-09-07T18:09:01.698" personId="{EDB6373B-AFA0-4D2A-A6E5-744383549083}" id="{BF9A56FD-6294-4657-848A-7D2259A63FB9}">
    <xltc:text>Synthetic March 31 assumption backcast for Q2 test; see Scenario Guide and Value Bridge.</xltc:text>
  </xltc:threadedComment>
  <xltc:threadedComment ref="D67" dT="2026-09-07T18:09:01.698" personId="{EDB6373B-AFA0-4D2A-A6E5-744383549083}" id="{617498C8-CEA0-4E1C-9999-849A4B187B05}">
    <xltc:text>Synthetic March 31 assumption backcast for Q2 test; see Scenario Guide and Value Bridge.</xltc:text>
  </xltc:threadedComment>
  <xltc:threadedComment ref="G67" dT="2026-09-07T18:09:01.698" personId="{EDB6373B-AFA0-4D2A-A6E5-744383549083}" id="{0D9AB2A7-EE33-412E-B4B6-B4DD2CC0F90C}">
    <xltc:text>Synthetic March 31 assumption backcast for Q2 test; see Scenario Guide and Value Bridge.</xltc:text>
  </xltc:threadedComment>
  <xltc:threadedComment ref="H67" dT="2026-09-07T18:09:01.698" personId="{EDB6373B-AFA0-4D2A-A6E5-744383549083}" id="{7D812CA8-A398-4863-A8D8-47F69B48E30D}">
    <xltc:text>Synthetic March 31 assumption backcast for Q2 test; see Scenario Guide and Value Bridge.</xltc:text>
  </xltc:threadedComment>
  <xltc:threadedComment ref="I67" dT="2026-09-07T18:09:01.699" personId="{EDB6373B-AFA0-4D2A-A6E5-744383549083}" id="{63733A25-FA4E-43B1-897A-34086C4C17BB}">
    <xltc:text>Synthetic March 31 assumption backcast for Q2 test; see Scenario Guide and Value Bridge.</xltc:text>
  </xltc:threadedComment>
  <xltc:threadedComment ref="K67" dT="2026-09-07T18:09:01.699" personId="{EDB6373B-AFA0-4D2A-A6E5-744383549083}" id="{B65BBF47-A894-4BBB-8954-44ED77E0BAE6}">
    <xltc:text>Synthetic March 31 assumption backcast for Q2 test; see Scenario Guide and Value Bridge.</xltc:text>
  </xltc:threadedComment>
  <xltc:threadedComment ref="D68" dT="2026-09-07T18:09:01.699" personId="{EDB6373B-AFA0-4D2A-A6E5-744383549083}" id="{3C7571DD-DB7D-4FAE-B02C-D29221DED286}">
    <xltc:text>Synthetic March 31 assumption backcast for Q2 test; see Scenario Guide and Value Bridge.</xltc:text>
  </xltc:threadedComment>
  <xltc:threadedComment ref="G68" dT="2026-09-07T18:09:01.699" personId="{EDB6373B-AFA0-4D2A-A6E5-744383549083}" id="{9334051A-93C2-4F79-AA26-ECFD868655EE}">
    <xltc:text>Synthetic March 31 assumption backcast for Q2 test; see Scenario Guide and Value Bridge.</xltc:text>
  </xltc:threadedComment>
  <xltc:threadedComment ref="H68" dT="2026-09-07T18:09:01.699" personId="{EDB6373B-AFA0-4D2A-A6E5-744383549083}" id="{6169D441-F205-4B9F-8037-2790EDA3787A}">
    <xltc:text>Synthetic March 31 assumption backcast for Q2 test; see Scenario Guide and Value Bridge.</xltc:text>
  </xltc:threadedComment>
  <xltc:threadedComment ref="I68" dT="2026-09-07T18:09:01.699" personId="{EDB6373B-AFA0-4D2A-A6E5-744383549083}" id="{17DB3056-A31D-45E4-BA63-287CAF4DEBC0}">
    <xltc:text>Synthetic March 31 assumption backcast for Q2 test; see Scenario Guide and Value Bridge.</xltc:text>
  </xltc:threadedComment>
  <xltc:threadedComment ref="J68" dT="2026-09-07T18:09:01.699" personId="{EDB6373B-AFA0-4D2A-A6E5-744383549083}" id="{4E5841EE-0C64-4436-A53F-ED5FEB848931}">
    <xltc:text>Synthetic March 31 assumption backcast for Q2 test; see Scenario Guide and Value Bridge.</xltc:text>
  </xltc:threadedComment>
  <xltc:threadedComment ref="K68" dT="2026-09-07T18:09:01.699" personId="{EDB6373B-AFA0-4D2A-A6E5-744383549083}" id="{B8D628B2-72C4-42A8-B258-8AD460AD1B74}">
    <xltc:text>Synthetic March 31 assumption backcast for Q2 test; see Scenario Guide and Value Bridge.</xltc:text>
  </xltc:threadedComment>
  <xltc:threadedComment ref="G71" dT="2026-09-07T18:09:01.699" personId="{EDB6373B-AFA0-4D2A-A6E5-744383549083}" id="{D78B0998-0C99-4E7A-81DA-28944297B687}">
    <xltc:text>Synthetic March 31 assumption backcast for Q2 test; see Scenario Guide and Value Bridge.</xltc:text>
  </xltc:threadedComment>
  <xltc:threadedComment ref="H71" dT="2026-09-07T18:09:01.699" personId="{EDB6373B-AFA0-4D2A-A6E5-744383549083}" id="{7D30B735-CDCB-4DDE-9E0A-CC42FFEFF13F}">
    <xltc:text>Synthetic March 31 assumption backcast for Q2 test; see Scenario Guide and Value Bridge.</xltc:text>
  </xltc:threadedComment>
  <xltc:threadedComment ref="I71" dT="2026-09-07T18:09:01.699" personId="{EDB6373B-AFA0-4D2A-A6E5-744383549083}" id="{0248E3C0-76CD-4779-902F-3FCB150062CD}">
    <xltc:text>Synthetic March 31 assumption backcast for Q2 test; see Scenario Guide and Value Bridge.</xltc:text>
  </xltc:threadedComment>
  <xltc:threadedComment ref="K71" dT="2026-09-07T18:09:01.699" personId="{EDB6373B-AFA0-4D2A-A6E5-744383549083}" id="{8A86286E-2830-431F-A055-13DF2A2151BF}">
    <xltc:text>Synthetic March 31 assumption backcast for Q2 test; see Scenario Guide and Value Bridge.</xltc:text>
  </xltc:threadedComment>
  <xltc:threadedComment ref="E82" dT="2026-09-07T18:09:01.699" personId="{EDB6373B-AFA0-4D2A-A6E5-744383549083}" id="{EF9D68FB-D9D1-46D0-8341-6010EBED0C96}">
    <xltc:text>Synthetic March 31 assumption backcast for Q2 test; see Scenario Guide and Value Bridge.</xltc:text>
  </xltc:threadedComment>
  <xltc:threadedComment ref="K82" dT="2026-09-07T18:09:01.699" personId="{EDB6373B-AFA0-4D2A-A6E5-744383549083}" id="{2603CBD4-2858-4829-A4C9-57981040C0CD}">
    <xltc:text>Synthetic March 31 assumption backcast for Q2 test; see Scenario Guide and Value Bridge.</xltc:text>
  </xltc:threadedComment>
  <xltc:threadedComment ref="N82" dT="2026-09-07T18:09:01.699" personId="{EDB6373B-AFA0-4D2A-A6E5-744383549083}" id="{53CAB0D0-B4B7-4772-A95F-EE8A53110AF8}">
    <xltc:text>Synthetic March 31 assumption backcast for Q2 test; see Scenario Guide and Value Bridge.</xltc:text>
  </xltc:threadedComment>
  <xltc:threadedComment ref="O82" dT="2026-09-07T18:09:01.699" personId="{EDB6373B-AFA0-4D2A-A6E5-744383549083}" id="{5A455C0C-709A-4DDA-9690-576867804EA7}">
    <xltc:text>Synthetic March 31 assumption backcast for Q2 test; see Scenario Guide and Value Bridge.</xltc:text>
  </xltc:threadedComment>
  <xltc:threadedComment ref="P82" dT="2026-09-07T18:09:01.699" personId="{EDB6373B-AFA0-4D2A-A6E5-744383549083}" id="{F8FBCCFB-A70F-40EA-936D-4CE5CAE33BCF}">
    <xltc:text>Synthetic March 31 assumption backcast for Q2 test; see Scenario Guide and Value Bridge.</xltc:text>
  </xltc:threadedComment>
  <xltc:threadedComment ref="Q82" dT="2026-09-07T18:09:01.699" personId="{EDB6373B-AFA0-4D2A-A6E5-744383549083}" id="{1A1D6E2D-B04D-4915-A49B-CAAE61B36943}">
    <xltc:text>Synthetic March 31 assumption backcast for Q2 test; see Scenario Guide and Value Bridge.</xltc:text>
  </xltc:threadedComment>
  <xltc:threadedComment ref="R82" dT="2026-09-07T18:09:01.699" personId="{EDB6373B-AFA0-4D2A-A6E5-744383549083}" id="{41A0F7F5-65A5-4E19-803E-715D2055FA56}">
    <xltc:text>Synthetic March 31 assumption backcast for Q2 test; see Scenario Guide and Value Bridge.</xltc:text>
  </xltc:threadedComment>
  <xltc:threadedComment ref="T82" dT="2026-09-07T18:09:01.699" personId="{EDB6373B-AFA0-4D2A-A6E5-744383549083}" id="{902702AE-A012-4A22-9C7A-157E14A7DC7B}">
    <xltc:text>Synthetic March 31 assumption backcast for Q2 test; see Scenario Guide and Value Bridge.</xltc:text>
  </xltc:threadedComment>
  <xltc:threadedComment ref="D94" dT="2026-09-07T18:09:01.699" personId="{EDB6373B-AFA0-4D2A-A6E5-744383549083}" id="{ED5F194A-6C69-45F8-816D-27D3227214B9}">
    <xltc:text>Synthetic March 31 assumption backcast for Q2 test; see Scenario Guide and Value Bridge.</xltc:text>
  </xltc:threadedComment>
  <xltc:threadedComment ref="G94" dT="2026-09-07T18:09:01.699" personId="{EDB6373B-AFA0-4D2A-A6E5-744383549083}" id="{0C677A63-D368-4D0A-B5DC-9A2F9992451E}">
    <xltc:text>Synthetic March 31 assumption backcast for Q2 test; see Scenario Guide and Value Bridge.</xltc:text>
  </xltc:threadedComment>
  <xltc:threadedComment ref="H94" dT="2026-09-07T18:09:01.699" personId="{EDB6373B-AFA0-4D2A-A6E5-744383549083}" id="{54997D76-7307-41E6-AFB0-6EBF9F96621B}">
    <xltc:text>Synthetic March 31 assumption backcast for Q2 test; see Scenario Guide and Value Bridge.</xltc:text>
  </xltc:threadedComment>
  <xltc:threadedComment ref="I94" dT="2026-09-07T18:09:01.699" personId="{EDB6373B-AFA0-4D2A-A6E5-744383549083}" id="{C294809A-2C9C-4560-A497-E4FC8C8906E9}">
    <xltc:text>Synthetic March 31 assumption backcast for Q2 test; see Scenario Guide and Value Bridge.</xltc:text>
  </xltc:threadedComment>
  <xltc:threadedComment ref="J94" dT="2026-09-07T18:09:01.699" personId="{EDB6373B-AFA0-4D2A-A6E5-744383549083}" id="{013F7BED-B63E-4E3E-B1E6-95064CA85C3A}">
    <xltc:text>Synthetic March 31 assumption backcast for Q2 test; see Scenario Guide and Value Bridge.</xltc:text>
  </xltc:threadedComment>
  <xltc:threadedComment ref="K94" dT="2026-09-07T18:09:01.699" personId="{EDB6373B-AFA0-4D2A-A6E5-744383549083}" id="{97485F68-2C53-426E-A5E8-FDED212DAE0F}">
    <xltc:text>Synthetic March 31 assumption backcast for Q2 test; see Scenario Guide and Value Bridge.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ffe699e27964be3" /><Relationship Type="http://schemas.openxmlformats.org/officeDocument/2006/relationships/vmlDrawing" Target="/xl/drawings/vmldrawing.vml" Id="Reea86ba4a80e40c3" /><Relationship Type="http://schemas.microsoft.com/office/2017/10/relationships/threadedComment" Target="/xl/threadedcomments/threadedcomment.xml" Id="Rcedc1a2f8bf84ed6" /><Relationship Type="http://schemas.openxmlformats.org/officeDocument/2006/relationships/table" Target="/xl/tables/table1.xml" Id="R8fa6fc5b36664f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e215f69dfd44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1fddbe02d934d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2" hidden="0" customWidth="1"/>
    <x:col min="3" max="3" width="13" hidden="0" customWidth="1"/>
    <x:col min="4" max="4" width="14" hidden="0" customWidth="1"/>
    <x:col min="5" max="5" width="15" hidden="0" customWidth="1"/>
    <x:col min="6" max="6" width="16" hidden="0" customWidth="1"/>
    <x:col min="7" max="7" width="16" hidden="0" customWidth="1"/>
    <x:col min="8" max="8" width="19" hidden="0" customWidth="1"/>
    <x:col min="9" max="9" width="16" hidden="0" customWidth="1"/>
    <x:col min="10" max="10" width="18" hidden="0" customWidth="1"/>
    <x:col min="11" max="11" width="17" hidden="0" customWidth="1"/>
    <x:col min="12" max="12" width="16" hidden="0" customWidth="1"/>
    <x:col min="13" max="13" width="13" hidden="0" customWidth="1"/>
    <x:col min="14" max="14" width="14" hidden="0" customWidth="1"/>
    <x:col min="15" max="15" width="17" hidden="0" customWidth="1"/>
    <x:col min="16" max="16" width="16" hidden="0" customWidth="1"/>
    <x:col min="17" max="17" width="18" hidden="0" customWidth="1"/>
    <x:col min="18" max="18" width="14" hidden="0" customWidth="1"/>
    <x:col min="19" max="19" width="15" hidden="0" customWidth="1"/>
    <x:col min="20" max="20" width="13" hidden="0" customWidth="1"/>
  </x:cols>
  <x:sheetData>
    <x:row r="1" ht="44" customHeight="1">
      <x:c r="A1" s="6" t="str">
        <x:v>Company</x:v>
      </x:c>
      <x:c r="B1" s="6" t="str">
        <x:v>Sector</x:v>
      </x:c>
      <x:c r="C1" s="6" t="str">
        <x:v>Fund</x:v>
      </x:c>
      <x:c r="D1" s="6" t="str">
        <x:v>Stage</x:v>
      </x:c>
      <x:c r="E1" s="6" t="str">
        <x:v>Status</x:v>
      </x:c>
      <x:c r="F1" s="6" t="str">
        <x:v>First Investment</x:v>
      </x:c>
      <x:c r="G1" s="6" t="str">
        <x:v>Latest Round</x:v>
      </x:c>
      <x:c r="H1" s="6" t="str">
        <x:v>Latest Post-Money ($M)</x:v>
      </x:c>
      <x:c r="I1" s="6" t="str">
        <x:v>Invested ($M)</x:v>
      </x:c>
      <x:c r="J1" s="6" t="str">
        <x:v>Ownership (FD %)</x:v>
      </x:c>
      <x:c r="K1" s="6" t="str">
        <x:v>Prior Mark ($M)</x:v>
      </x:c>
      <x:c r="L1" s="6" t="str">
        <x:v>Realized ($M)</x:v>
      </x:c>
      <x:c r="M1" s="6" t="str">
        <x:v>MOIC (x)</x:v>
      </x:c>
      <x:c r="N1" s="6" t="str">
        <x:v>ARR ($M)</x:v>
      </x:c>
      <x:c r="O1" s="6" t="str">
        <x:v>ARR Growth (YoY %)</x:v>
      </x:c>
      <x:c r="P1" s="6" t="str">
        <x:v>Gross Margin (%)</x:v>
      </x:c>
      <x:c r="Q1" s="6" t="str">
        <x:v>Net Burn ($M/mo)</x:v>
      </x:c>
      <x:c r="R1" s="6" t="str">
        <x:v>Cash ($M)</x:v>
      </x:c>
      <x:c r="S1" s="6" t="str">
        <x:v>Runway (mo)</x:v>
      </x:c>
      <x:c r="T1" s="6" t="str">
        <x:v>Headcount</x:v>
      </x:c>
    </x:row>
    <x:row r="2" ht="24" customHeight="1">
      <x:c r="A2" s="3" t="str">
        <x:v>Aravine</x:v>
      </x:c>
      <x:c r="B2" s="3" t="str">
        <x:v>Climate &amp; Energy</x:v>
      </x:c>
      <x:c r="C2" s="3" t="str">
        <x:v>Fund I</x:v>
      </x:c>
      <x:c r="D2" s="3" t="str">
        <x:v>Series A</x:v>
      </x:c>
      <x:c r="E2" s="3" t="str">
        <x:v>Active</x:v>
      </x:c>
      <x:c r="F2" s="8" t="n">
        <x:v>43834</x:v>
      </x:c>
      <x:c r="G2" s="8" t="n">
        <x:v>44264</x:v>
      </x:c>
      <x:c r="H2" s="12" t="n">
        <x:v>50.8</x:v>
      </x:c>
      <x:c r="I2" s="12" t="n">
        <x:v>6</x:v>
      </x:c>
      <x:c r="J2" s="10" t="n">
        <x:v>0.136</x:v>
      </x:c>
      <x:c r="K2" s="12" t="n">
        <x:v>6.9</x:v>
      </x:c>
      <x:c r="L2" s="12" t="n">
        <x:v>0</x:v>
      </x:c>
      <x:c r="M2" s="14" t="n">
        <x:f>IF(I2=0,0,(K2+L2)/I2)</x:f>
        <x:v>1.1500000000000001</x:v>
      </x:c>
      <x:c r="N2" s="12" t="n">
        <x:v>3.4</x:v>
      </x:c>
      <x:c r="O2" s="10" t="n">
        <x:v>0.83</x:v>
      </x:c>
      <x:c r="P2" s="10" t="n">
        <x:v>0.49</x:v>
      </x:c>
      <x:c r="Q2" s="12" t="n">
        <x:v>0.54</x:v>
      </x:c>
      <x:c r="R2" s="12" t="n">
        <x:v>18.1</x:v>
      </x:c>
      <x:c r="S2" s="12" t="n">
        <x:f>IF(OR(E2&lt;&gt;"Active",Q2=0),"-",R2/Q2)</x:f>
        <x:v>33.51851851851852</x:v>
      </x:c>
      <x:c r="T2" s="16" t="n">
        <x:v>28</x:v>
      </x:c>
    </x:row>
    <x:row r="3" ht="24" customHeight="1">
      <x:c r="A3" s="7" t="str">
        <x:v>Beltrix</x:v>
      </x:c>
      <x:c r="B3" s="7" t="str">
        <x:v>Fintech</x:v>
      </x:c>
      <x:c r="C3" s="7" t="str">
        <x:v>Fund II</x:v>
      </x:c>
      <x:c r="D3" s="7" t="str">
        <x:v>Series A</x:v>
      </x:c>
      <x:c r="E3" s="7" t="str">
        <x:v>Active</x:v>
      </x:c>
      <x:c r="F3" s="9" t="n">
        <x:v>44507</x:v>
      </x:c>
      <x:c r="G3" s="9" t="n">
        <x:v>45478</x:v>
      </x:c>
      <x:c r="H3" s="13" t="n">
        <x:v>61.3</x:v>
      </x:c>
      <x:c r="I3" s="13" t="n">
        <x:v>6</x:v>
      </x:c>
      <x:c r="J3" s="11" t="n">
        <x:v>0.132</x:v>
      </x:c>
      <x:c r="K3" s="13" t="n">
        <x:v>8.1</x:v>
      </x:c>
      <x:c r="L3" s="13" t="n">
        <x:v>0</x:v>
      </x:c>
      <x:c r="M3" s="15" t="n">
        <x:f>IF(I3=0,0,(K3+L3)/I3)</x:f>
        <x:v>1.3499999999999999</x:v>
      </x:c>
      <x:c r="N3" s="13" t="n">
        <x:v>5.1</x:v>
      </x:c>
      <x:c r="O3" s="11" t="n">
        <x:v>1.08</x:v>
      </x:c>
      <x:c r="P3" s="11" t="n">
        <x:v>0.67</x:v>
      </x:c>
      <x:c r="Q3" s="13" t="n">
        <x:v>0.52</x:v>
      </x:c>
      <x:c r="R3" s="13" t="n">
        <x:v>3.1</x:v>
      </x:c>
      <x:c r="S3" s="13" t="n">
        <x:f>IF(OR(E3&lt;&gt;"Active",Q3=0),"-",R3/Q3)</x:f>
        <x:v>5.961538461538462</x:v>
      </x:c>
      <x:c r="T3" s="17" t="n">
        <x:v>24</x:v>
      </x:c>
    </x:row>
    <x:row r="4" ht="24" customHeight="1">
      <x:c r="A4" s="3" t="str">
        <x:v>Cindral</x:v>
      </x:c>
      <x:c r="B4" s="3" t="str">
        <x:v>Developer Tools</x:v>
      </x:c>
      <x:c r="C4" s="3" t="str">
        <x:v>Fund I</x:v>
      </x:c>
      <x:c r="D4" s="3" t="str">
        <x:v>Series B</x:v>
      </x:c>
      <x:c r="E4" s="3" t="str">
        <x:v>Active</x:v>
      </x:c>
      <x:c r="F4" s="8" t="n">
        <x:v>43583</x:v>
      </x:c>
      <x:c r="G4" s="8" t="n">
        <x:v>44383</x:v>
      </x:c>
      <x:c r="H4" s="12" t="n">
        <x:v>209.5</x:v>
      </x:c>
      <x:c r="I4" s="12" t="n">
        <x:v>10</x:v>
      </x:c>
      <x:c r="J4" s="10" t="n">
        <x:v>0.087</x:v>
      </x:c>
      <x:c r="K4" s="12" t="n">
        <x:v>18.2</x:v>
      </x:c>
      <x:c r="L4" s="12" t="n">
        <x:v>0</x:v>
      </x:c>
      <x:c r="M4" s="14" t="n">
        <x:f>IF(I4=0,0,(K4+L4)/I4)</x:f>
        <x:v>1.8199999999999998</x:v>
      </x:c>
      <x:c r="N4" s="12" t="n">
        <x:v>27.3</x:v>
      </x:c>
      <x:c r="O4" s="10" t="n">
        <x:v>0.93</x:v>
      </x:c>
      <x:c r="P4" s="10" t="n">
        <x:v>0.8</x:v>
      </x:c>
      <x:c r="Q4" s="12" t="n">
        <x:v>1.44</x:v>
      </x:c>
      <x:c r="R4" s="12" t="n">
        <x:v>48.2</x:v>
      </x:c>
      <x:c r="S4" s="12" t="n">
        <x:f>IF(OR(E4&lt;&gt;"Active",Q4=0),"-",R4/Q4)</x:f>
        <x:v>33.47222222222223</x:v>
      </x:c>
      <x:c r="T4" s="16" t="n">
        <x:v>128</x:v>
      </x:c>
    </x:row>
    <x:row r="5" ht="24" customHeight="1">
      <x:c r="A5" s="7" t="str">
        <x:v>Dovelane Systems</x:v>
      </x:c>
      <x:c r="B5" s="7" t="str">
        <x:v>Fintech</x:v>
      </x:c>
      <x:c r="C5" s="7" t="str">
        <x:v>Fund II</x:v>
      </x:c>
      <x:c r="D5" s="7" t="str">
        <x:v>Series A</x:v>
      </x:c>
      <x:c r="E5" s="7" t="str">
        <x:v>Active</x:v>
      </x:c>
      <x:c r="F5" s="9" t="n">
        <x:v>44623</x:v>
      </x:c>
      <x:c r="G5" s="9" t="n">
        <x:v>45282</x:v>
      </x:c>
      <x:c r="H5" s="13" t="n">
        <x:v>53.9</x:v>
      </x:c>
      <x:c r="I5" s="13" t="n">
        <x:v>4</x:v>
      </x:c>
      <x:c r="J5" s="11" t="n">
        <x:v>0.076</x:v>
      </x:c>
      <x:c r="K5" s="13" t="n">
        <x:v>4.1</x:v>
      </x:c>
      <x:c r="L5" s="13" t="n">
        <x:v>0</x:v>
      </x:c>
      <x:c r="M5" s="15" t="n">
        <x:f>IF(I5=0,0,(K5+L5)/I5)</x:f>
        <x:v>1.025</x:v>
      </x:c>
      <x:c r="N5" s="13" t="n">
        <x:v>2.5</x:v>
      </x:c>
      <x:c r="O5" s="11" t="n">
        <x:v>1.86</x:v>
      </x:c>
      <x:c r="P5" s="11" t="n">
        <x:v>0.66</x:v>
      </x:c>
      <x:c r="Q5" s="13" t="n">
        <x:v>0.32</x:v>
      </x:c>
      <x:c r="R5" s="13" t="n">
        <x:v>8.2</x:v>
      </x:c>
      <x:c r="S5" s="13" t="n">
        <x:f>IF(OR(E5&lt;&gt;"Active",Q5=0),"-",R5/Q5)</x:f>
        <x:v>25.624999999999996</x:v>
      </x:c>
      <x:c r="T5" s="17" t="n">
        <x:v>65</x:v>
      </x:c>
    </x:row>
    <x:row r="6" ht="24" customHeight="1">
      <x:c r="A6" s="3" t="str">
        <x:v>Emberfold</x:v>
      </x:c>
      <x:c r="B6" s="3" t="str">
        <x:v>Cybersecurity</x:v>
      </x:c>
      <x:c r="C6" s="3" t="str">
        <x:v>Fund III</x:v>
      </x:c>
      <x:c r="D6" s="3" t="str">
        <x:v>Seed</x:v>
      </x:c>
      <x:c r="E6" s="3" t="str">
        <x:v>Active</x:v>
      </x:c>
      <x:c r="F6" s="8" t="n">
        <x:v>45681</x:v>
      </x:c>
      <x:c r="G6" s="8" t="n">
        <x:v>45681</x:v>
      </x:c>
      <x:c r="H6" s="12" t="n">
        <x:v>22.5</x:v>
      </x:c>
      <x:c r="I6" s="12" t="n">
        <x:v>2.5</x:v>
      </x:c>
      <x:c r="J6" s="10" t="n">
        <x:v>0.078</x:v>
      </x:c>
      <x:c r="K6" s="12" t="n">
        <x:v>1.8</x:v>
      </x:c>
      <x:c r="L6" s="12" t="n">
        <x:v>0</x:v>
      </x:c>
      <x:c r="M6" s="14" t="n">
        <x:f>IF(I6=0,0,(K6+L6)/I6)</x:f>
        <x:v>0.72</x:v>
      </x:c>
      <x:c r="N6" s="12" t="n">
        <x:v>0.7</x:v>
      </x:c>
      <x:c r="O6" s="10" t="n">
        <x:v>2.07</x:v>
      </x:c>
      <x:c r="P6" s="10" t="n">
        <x:v>0.76</x:v>
      </x:c>
      <x:c r="Q6" s="12" t="n">
        <x:v>0.13</x:v>
      </x:c>
      <x:c r="R6" s="12" t="n">
        <x:v>1.7</x:v>
      </x:c>
      <x:c r="S6" s="12" t="n">
        <x:f>IF(OR(E6&lt;&gt;"Active",Q6=0),"-",R6/Q6)</x:f>
        <x:v>13.076923076923077</x:v>
      </x:c>
      <x:c r="T6" s="16" t="n">
        <x:v>18</x:v>
      </x:c>
    </x:row>
    <x:row r="7" ht="24" customHeight="1">
      <x:c r="A7" s="7" t="str">
        <x:v>Fernwave</x:v>
      </x:c>
      <x:c r="B7" s="7" t="str">
        <x:v>Infrastructure</x:v>
      </x:c>
      <x:c r="C7" s="7" t="str">
        <x:v>Fund I</x:v>
      </x:c>
      <x:c r="D7" s="7" t="str">
        <x:v>Series C</x:v>
      </x:c>
      <x:c r="E7" s="7" t="str">
        <x:v>Active</x:v>
      </x:c>
      <x:c r="F7" s="9" t="n">
        <x:v>43876</x:v>
      </x:c>
      <x:c r="G7" s="9" t="n">
        <x:v>44082</x:v>
      </x:c>
      <x:c r="H7" s="13" t="n">
        <x:v>785.4</x:v>
      </x:c>
      <x:c r="I7" s="13" t="n">
        <x:v>10.3</x:v>
      </x:c>
      <x:c r="J7" s="11" t="n">
        <x:v>0.049</x:v>
      </x:c>
      <x:c r="K7" s="13" t="n">
        <x:v>38.5</x:v>
      </x:c>
      <x:c r="L7" s="13" t="n">
        <x:v>0</x:v>
      </x:c>
      <x:c r="M7" s="15" t="n">
        <x:f>IF(I7=0,0,(K7+L7)/I7)</x:f>
        <x:v>3.7378640776699026</x:v>
      </x:c>
      <x:c r="N7" s="13" t="n">
        <x:v>80.1</x:v>
      </x:c>
      <x:c r="O7" s="11" t="n">
        <x:v>0.69</x:v>
      </x:c>
      <x:c r="P7" s="11" t="n">
        <x:v>0.65</x:v>
      </x:c>
      <x:c r="Q7" s="13" t="n">
        <x:v>2.06</x:v>
      </x:c>
      <x:c r="R7" s="13" t="n">
        <x:v>66.1</x:v>
      </x:c>
      <x:c r="S7" s="13" t="n">
        <x:f>IF(OR(E7&lt;&gt;"Active",Q7=0),"-",R7/Q7)</x:f>
        <x:v>32.0873786407767</x:v>
      </x:c>
      <x:c r="T7" s="17" t="n">
        <x:v>500</x:v>
      </x:c>
    </x:row>
    <x:row r="8" ht="24" customHeight="1">
      <x:c r="A8" s="3" t="str">
        <x:v>Gryphonel</x:v>
      </x:c>
      <x:c r="B8" s="3" t="str">
        <x:v>AI/ML</x:v>
      </x:c>
      <x:c r="C8" s="3" t="str">
        <x:v>Fund I</x:v>
      </x:c>
      <x:c r="D8" s="3" t="str">
        <x:v>Series B</x:v>
      </x:c>
      <x:c r="E8" s="3" t="str">
        <x:v>Active</x:v>
      </x:c>
      <x:c r="F8" s="8" t="n">
        <x:v>43778</x:v>
      </x:c>
      <x:c r="G8" s="8" t="n">
        <x:v>44081</x:v>
      </x:c>
      <x:c r="H8" s="12" t="n">
        <x:v>97</x:v>
      </x:c>
      <x:c r="I8" s="12" t="n">
        <x:v>4</x:v>
      </x:c>
      <x:c r="J8" s="10" t="n">
        <x:v>0.036</x:v>
      </x:c>
      <x:c r="K8" s="12" t="n">
        <x:v>3.5</x:v>
      </x:c>
      <x:c r="L8" s="12" t="n">
        <x:v>0</x:v>
      </x:c>
      <x:c r="M8" s="14" t="n">
        <x:f>IF(I8=0,0,(K8+L8)/I8)</x:f>
        <x:v>0.875</x:v>
      </x:c>
      <x:c r="N8" s="12" t="n">
        <x:v>14</x:v>
      </x:c>
      <x:c r="O8" s="10" t="n">
        <x:v>0.51</x:v>
      </x:c>
      <x:c r="P8" s="10" t="n">
        <x:v>0.68</x:v>
      </x:c>
      <x:c r="Q8" s="12" t="n">
        <x:v>0.56</x:v>
      </x:c>
      <x:c r="R8" s="12" t="n">
        <x:v>14</x:v>
      </x:c>
      <x:c r="S8" s="12" t="n">
        <x:f>IF(OR(E8&lt;&gt;"Active",Q8=0),"-",R8/Q8)</x:f>
        <x:v>24.999999999999996</x:v>
      </x:c>
      <x:c r="T8" s="16" t="n">
        <x:v>77</x:v>
      </x:c>
    </x:row>
    <x:row r="9" ht="24" customHeight="1">
      <x:c r="A9" s="7" t="str">
        <x:v>Halcyra</x:v>
      </x:c>
      <x:c r="B9" s="7" t="str">
        <x:v>Cybersecurity</x:v>
      </x:c>
      <x:c r="C9" s="7" t="str">
        <x:v>Fund I</x:v>
      </x:c>
      <x:c r="D9" s="7" t="str">
        <x:v>Series A</x:v>
      </x:c>
      <x:c r="E9" s="7" t="str">
        <x:v>Active</x:v>
      </x:c>
      <x:c r="F9" s="9" t="n">
        <x:v>43666</x:v>
      </x:c>
      <x:c r="G9" s="9" t="n">
        <x:v>44134</x:v>
      </x:c>
      <x:c r="H9" s="13" t="n">
        <x:v>31.3</x:v>
      </x:c>
      <x:c r="I9" s="13" t="n">
        <x:v>2</x:v>
      </x:c>
      <x:c r="J9" s="11" t="n">
        <x:v>0.085</x:v>
      </x:c>
      <x:c r="K9" s="13" t="n">
        <x:v>2.7</x:v>
      </x:c>
      <x:c r="L9" s="13" t="n">
        <x:v>0</x:v>
      </x:c>
      <x:c r="M9" s="15" t="n">
        <x:f>IF(I9=0,0,(K9+L9)/I9)</x:f>
        <x:v>1.35</x:v>
      </x:c>
      <x:c r="N9" s="13" t="n">
        <x:v>4.8</x:v>
      </x:c>
      <x:c r="O9" s="11" t="n">
        <x:v>1.7</x:v>
      </x:c>
      <x:c r="P9" s="11" t="n">
        <x:v>0.76</x:v>
      </x:c>
      <x:c r="Q9" s="13" t="n">
        <x:v>0.65</x:v>
      </x:c>
      <x:c r="R9" s="13" t="n">
        <x:v>10.5</x:v>
      </x:c>
      <x:c r="S9" s="13" t="n">
        <x:f>IF(OR(E9&lt;&gt;"Active",Q9=0),"-",R9/Q9)</x:f>
        <x:v>16.153846153846153</x:v>
      </x:c>
      <x:c r="T9" s="17" t="n">
        <x:v>53</x:v>
      </x:c>
    </x:row>
    <x:row r="10" ht="24" customHeight="1">
      <x:c r="A10" s="3" t="str">
        <x:v>Ironquill Security</x:v>
      </x:c>
      <x:c r="B10" s="3" t="str">
        <x:v>Developer Tools</x:v>
      </x:c>
      <x:c r="C10" s="3" t="str">
        <x:v>Fund I</x:v>
      </x:c>
      <x:c r="D10" s="3" t="str">
        <x:v>Series C</x:v>
      </x:c>
      <x:c r="E10" s="3" t="str">
        <x:v>Active</x:v>
      </x:c>
      <x:c r="F10" s="8" t="n">
        <x:v>44174</x:v>
      </x:c>
      <x:c r="G10" s="8" t="n">
        <x:v>45425</x:v>
      </x:c>
      <x:c r="H10" s="12" t="n">
        <x:v>304.6</x:v>
      </x:c>
      <x:c r="I10" s="12" t="n">
        <x:v>6</x:v>
      </x:c>
      <x:c r="J10" s="10" t="n">
        <x:v>0.052</x:v>
      </x:c>
      <x:c r="K10" s="12" t="n">
        <x:v>15.8</x:v>
      </x:c>
      <x:c r="L10" s="12" t="n">
        <x:v>0</x:v>
      </x:c>
      <x:c r="M10" s="14" t="n">
        <x:f>IF(I10=0,0,(K10+L10)/I10)</x:f>
        <x:v>2.6333333333333333</x:v>
      </x:c>
      <x:c r="N10" s="12" t="n">
        <x:v>76.7</x:v>
      </x:c>
      <x:c r="O10" s="10" t="n">
        <x:v>0.28</x:v>
      </x:c>
      <x:c r="P10" s="10" t="n">
        <x:v>0.74</x:v>
      </x:c>
      <x:c r="Q10" s="12" t="n">
        <x:v>1.56</x:v>
      </x:c>
      <x:c r="R10" s="12" t="n">
        <x:v>22.6</x:v>
      </x:c>
      <x:c r="S10" s="12" t="n">
        <x:f>IF(OR(E10&lt;&gt;"Active",Q10=0),"-",R10/Q10)</x:f>
        <x:v>14.487179487179487</x:v>
      </x:c>
      <x:c r="T10" s="16" t="n">
        <x:v>306</x:v>
      </x:c>
    </x:row>
    <x:row r="11" ht="24" customHeight="1">
      <x:c r="A11" s="7" t="str">
        <x:v>Jettamar</x:v>
      </x:c>
      <x:c r="B11" s="7" t="str">
        <x:v>Enterprise SaaS</x:v>
      </x:c>
      <x:c r="C11" s="7" t="str">
        <x:v>Fund III</x:v>
      </x:c>
      <x:c r="D11" s="7" t="str">
        <x:v>Seed</x:v>
      </x:c>
      <x:c r="E11" s="7" t="str">
        <x:v>Active</x:v>
      </x:c>
      <x:c r="F11" s="9" t="n">
        <x:v>45829</x:v>
      </x:c>
      <x:c r="G11" s="9" t="n">
        <x:v>46081</x:v>
      </x:c>
      <x:c r="H11" s="13" t="n">
        <x:v>27</x:v>
      </x:c>
      <x:c r="I11" s="13" t="n">
        <x:v>2.5</x:v>
      </x:c>
      <x:c r="J11" s="11" t="n">
        <x:v>0.108</x:v>
      </x:c>
      <x:c r="K11" s="13" t="n">
        <x:v>2.9</x:v>
      </x:c>
      <x:c r="L11" s="13" t="n">
        <x:v>0</x:v>
      </x:c>
      <x:c r="M11" s="15" t="n">
        <x:f>IF(I11=0,0,(K11+L11)/I11)</x:f>
        <x:v>1.16</x:v>
      </x:c>
      <x:c r="N11" s="13" t="n">
        <x:v>1.2</x:v>
      </x:c>
      <x:c r="O11" s="11" t="n">
        <x:v>2.71</x:v>
      </x:c>
      <x:c r="P11" s="11" t="n">
        <x:v>0.69</x:v>
      </x:c>
      <x:c r="Q11" s="13" t="n">
        <x:v>0.23</x:v>
      </x:c>
      <x:c r="R11" s="13" t="n">
        <x:v>6.1</x:v>
      </x:c>
      <x:c r="S11" s="13" t="n">
        <x:f>IF(OR(E11&lt;&gt;"Active",Q11=0),"-",R11/Q11)</x:f>
        <x:v>26.52173913043478</x:v>
      </x:c>
      <x:c r="T11" s="17" t="n">
        <x:v>11</x:v>
      </x:c>
    </x:row>
    <x:row r="12" ht="24" customHeight="1">
      <x:c r="A12" s="3" t="str">
        <x:v>Kolvani Health</x:v>
      </x:c>
      <x:c r="B12" s="3" t="str">
        <x:v>Developer Tools</x:v>
      </x:c>
      <x:c r="C12" s="3" t="str">
        <x:v>Fund II</x:v>
      </x:c>
      <x:c r="D12" s="3" t="str">
        <x:v>Series B</x:v>
      </x:c>
      <x:c r="E12" s="3" t="str">
        <x:v>Acquired</x:v>
      </x:c>
      <x:c r="F12" s="8" t="n">
        <x:v>44594</x:v>
      </x:c>
      <x:c r="G12" s="8" t="n">
        <x:v>45653</x:v>
      </x:c>
      <x:c r="H12" s="12" t="n">
        <x:v>112.1</x:v>
      </x:c>
      <x:c r="I12" s="12" t="n">
        <x:v>5.8</x:v>
      </x:c>
      <x:c r="J12" s="10" t="n">
        <x:v>0.071</x:v>
      </x:c>
      <x:c r="K12" s="12" t="n">
        <x:v>0</x:v>
      </x:c>
      <x:c r="L12" s="33" t="n">
        <x:v>15</x:v>
      </x:c>
      <x:c r="M12" s="14" t="n">
        <x:f>IF(I12=0,0,(K12+L12)/I12)</x:f>
        <x:v>2.586206896551724</x:v>
      </x:c>
      <x:c r="N12" s="12"/>
      <x:c r="O12" s="10"/>
      <x:c r="P12" s="10"/>
      <x:c r="Q12" s="12"/>
      <x:c r="R12" s="12"/>
      <x:c r="S12" s="12" t="str">
        <x:f>IF(OR(E12&lt;&gt;"Active",Q12=0),"-",R12/Q12)</x:f>
        <x:v>-</x:v>
      </x:c>
      <x:c r="T12" s="16"/>
    </x:row>
    <x:row r="13" ht="24" customHeight="1">
      <x:c r="A13" s="7" t="str">
        <x:v>Lumetra</x:v>
      </x:c>
      <x:c r="B13" s="7" t="str">
        <x:v>AI/ML</x:v>
      </x:c>
      <x:c r="C13" s="7" t="str">
        <x:v>Fund III</x:v>
      </x:c>
      <x:c r="D13" s="7" t="str">
        <x:v>Seed</x:v>
      </x:c>
      <x:c r="E13" s="7" t="str">
        <x:v>Active</x:v>
      </x:c>
      <x:c r="F13" s="9" t="n">
        <x:v>46096</x:v>
      </x:c>
      <x:c r="G13" s="9" t="n">
        <x:v>46096</x:v>
      </x:c>
      <x:c r="H13" s="13" t="n">
        <x:v>4.3</x:v>
      </x:c>
      <x:c r="I13" s="13" t="n">
        <x:v>0.5</x:v>
      </x:c>
      <x:c r="J13" s="11" t="n">
        <x:v>0.099</x:v>
      </x:c>
      <x:c r="K13" s="13" t="n">
        <x:v>0.4</x:v>
      </x:c>
      <x:c r="L13" s="13" t="n">
        <x:v>0</x:v>
      </x:c>
      <x:c r="M13" s="15" t="n">
        <x:f>IF(I13=0,0,(K13+L13)/I13)</x:f>
        <x:v>0.8</x:v>
      </x:c>
      <x:c r="N13" s="13" t="n">
        <x:v>0.8</x:v>
      </x:c>
      <x:c r="O13" s="11" t="n">
        <x:v>2.86</x:v>
      </x:c>
      <x:c r="P13" s="11" t="n">
        <x:v>0.64</x:v>
      </x:c>
      <x:c r="Q13" s="13" t="n">
        <x:v>0.15</x:v>
      </x:c>
      <x:c r="R13" s="13" t="n">
        <x:v>3.3</x:v>
      </x:c>
      <x:c r="S13" s="13" t="n">
        <x:f>IF(OR(E13&lt;&gt;"Active",Q13=0),"-",R13/Q13)</x:f>
        <x:v>22</x:v>
      </x:c>
      <x:c r="T13" s="17" t="n">
        <x:v>24</x:v>
      </x:c>
    </x:row>
    <x:row r="14" ht="24" customHeight="1">
      <x:c r="A14" s="3" t="str">
        <x:v>Marrowick Bio</x:v>
      </x:c>
      <x:c r="B14" s="3" t="str">
        <x:v>AI/ML</x:v>
      </x:c>
      <x:c r="C14" s="3" t="str">
        <x:v>Fund II</x:v>
      </x:c>
      <x:c r="D14" s="3" t="str">
        <x:v>Series C</x:v>
      </x:c>
      <x:c r="E14" s="3" t="str">
        <x:v>Active</x:v>
      </x:c>
      <x:c r="F14" s="8" t="n">
        <x:v>44918</x:v>
      </x:c>
      <x:c r="G14" s="8" t="n">
        <x:v>45764</x:v>
      </x:c>
      <x:c r="H14" s="12" t="n">
        <x:v>516</x:v>
      </x:c>
      <x:c r="I14" s="12" t="n">
        <x:v>10.4</x:v>
      </x:c>
      <x:c r="J14" s="10" t="n">
        <x:v>0.025</x:v>
      </x:c>
      <x:c r="K14" s="12" t="n">
        <x:v>12.9</x:v>
      </x:c>
      <x:c r="L14" s="12" t="n">
        <x:v>0</x:v>
      </x:c>
      <x:c r="M14" s="14" t="n">
        <x:f>IF(I14=0,0,(K14+L14)/I14)</x:f>
        <x:v>1.2403846153846154</x:v>
      </x:c>
      <x:c r="N14" s="12" t="n">
        <x:v>75.3</x:v>
      </x:c>
      <x:c r="O14" s="10" t="n">
        <x:v>0.46</x:v>
      </x:c>
      <x:c r="P14" s="10" t="n">
        <x:v>0.64</x:v>
      </x:c>
      <x:c r="Q14" s="12" t="n">
        <x:v>2.09</x:v>
      </x:c>
      <x:c r="R14" s="12" t="n">
        <x:v>35</x:v>
      </x:c>
      <x:c r="S14" s="12" t="n">
        <x:f>IF(OR(E14&lt;&gt;"Active",Q14=0),"-",R14/Q14)</x:f>
        <x:v>16.74641148325359</x:v>
      </x:c>
      <x:c r="T14" s="16" t="n">
        <x:v>222</x:v>
      </x:c>
    </x:row>
    <x:row r="15" ht="24" customHeight="1">
      <x:c r="A15" s="7" t="str">
        <x:v>Nimbrel</x:v>
      </x:c>
      <x:c r="B15" s="7" t="str">
        <x:v>AI/ML</x:v>
      </x:c>
      <x:c r="C15" s="7" t="str">
        <x:v>Fund II</x:v>
      </x:c>
      <x:c r="D15" s="7" t="str">
        <x:v>Seed</x:v>
      </x:c>
      <x:c r="E15" s="7" t="str">
        <x:v>Active</x:v>
      </x:c>
      <x:c r="F15" s="9" t="n">
        <x:v>44962</x:v>
      </x:c>
      <x:c r="G15" s="9" t="n">
        <x:v>44962</x:v>
      </x:c>
      <x:c r="H15" s="13" t="n">
        <x:v>18.1</x:v>
      </x:c>
      <x:c r="I15" s="13" t="n">
        <x:v>0.8</x:v>
      </x:c>
      <x:c r="J15" s="11" t="n">
        <x:v>0.065</x:v>
      </x:c>
      <x:c r="K15" s="13" t="n">
        <x:v>1.2</x:v>
      </x:c>
      <x:c r="L15" s="13" t="n">
        <x:v>0</x:v>
      </x:c>
      <x:c r="M15" s="15" t="n">
        <x:f>IF(I15=0,0,(K15+L15)/I15)</x:f>
        <x:v>1.4999999999999998</x:v>
      </x:c>
      <x:c r="N15" s="13" t="n">
        <x:v>0.9</x:v>
      </x:c>
      <x:c r="O15" s="11" t="n">
        <x:v>1.25</x:v>
      </x:c>
      <x:c r="P15" s="11" t="n">
        <x:v>0.57</x:v>
      </x:c>
      <x:c r="Q15" s="13" t="n">
        <x:v>0.29</x:v>
      </x:c>
      <x:c r="R15" s="13" t="n">
        <x:v>4.3</x:v>
      </x:c>
      <x:c r="S15" s="13" t="n">
        <x:f>IF(OR(E15&lt;&gt;"Active",Q15=0),"-",R15/Q15)</x:f>
        <x:v>14.827586206896552</x:v>
      </x:c>
      <x:c r="T15" s="17" t="n">
        <x:v>9</x:v>
      </x:c>
    </x:row>
    <x:row r="16" ht="24" customHeight="1">
      <x:c r="A16" s="3" t="str">
        <x:v>Ostrella</x:v>
      </x:c>
      <x:c r="B16" s="3" t="str">
        <x:v>Space &amp; Defense</x:v>
      </x:c>
      <x:c r="C16" s="3" t="str">
        <x:v>Fund I</x:v>
      </x:c>
      <x:c r="D16" s="3" t="str">
        <x:v>Series D+</x:v>
      </x:c>
      <x:c r="E16" s="3" t="str">
        <x:v>Active</x:v>
      </x:c>
      <x:c r="F16" s="8" t="n">
        <x:v>43953</x:v>
      </x:c>
      <x:c r="G16" s="8" t="n">
        <x:v>44426</x:v>
      </x:c>
      <x:c r="H16" s="12" t="n">
        <x:v>1157.1</x:v>
      </x:c>
      <x:c r="I16" s="12" t="n">
        <x:v>8</x:v>
      </x:c>
      <x:c r="J16" s="10" t="n">
        <x:v>0.012</x:v>
      </x:c>
      <x:c r="K16" s="12" t="n">
        <x:v>13.9</x:v>
      </x:c>
      <x:c r="L16" s="12" t="n">
        <x:v>0</x:v>
      </x:c>
      <x:c r="M16" s="14" t="n">
        <x:f>IF(I16=0,0,(K16+L16)/I16)</x:f>
        <x:v>1.7375</x:v>
      </x:c>
      <x:c r="N16" s="12" t="n">
        <x:v>121.2</x:v>
      </x:c>
      <x:c r="O16" s="10" t="n">
        <x:v>0.27</x:v>
      </x:c>
      <x:c r="P16" s="10" t="n">
        <x:v>0.46</x:v>
      </x:c>
      <x:c r="Q16" s="12" t="n">
        <x:v>2.79</x:v>
      </x:c>
      <x:c r="R16" s="12" t="n">
        <x:v>45</x:v>
      </x:c>
      <x:c r="S16" s="12" t="n">
        <x:f>IF(OR(E16&lt;&gt;"Active",Q16=0),"-",R16/Q16)</x:f>
        <x:v>16.129032258064516</x:v>
      </x:c>
      <x:c r="T16" s="16" t="n">
        <x:v>525</x:v>
      </x:c>
    </x:row>
    <x:row r="17" ht="24" customHeight="1">
      <x:c r="A17" s="7" t="str">
        <x:v>Pellagrin</x:v>
      </x:c>
      <x:c r="B17" s="7" t="str">
        <x:v>Climate &amp; Energy</x:v>
      </x:c>
      <x:c r="C17" s="7" t="str">
        <x:v>Fund I</x:v>
      </x:c>
      <x:c r="D17" s="7" t="str">
        <x:v>Series B</x:v>
      </x:c>
      <x:c r="E17" s="7" t="str">
        <x:v>Active</x:v>
      </x:c>
      <x:c r="F17" s="9" t="n">
        <x:v>43895</x:v>
      </x:c>
      <x:c r="G17" s="9" t="n">
        <x:v>44477</x:v>
      </x:c>
      <x:c r="H17" s="13" t="n">
        <x:v>176.3</x:v>
      </x:c>
      <x:c r="I17" s="13" t="n">
        <x:v>4</x:v>
      </x:c>
      <x:c r="J17" s="11" t="n">
        <x:v>0.074</x:v>
      </x:c>
      <x:c r="K17" s="13" t="n">
        <x:v>13</x:v>
      </x:c>
      <x:c r="L17" s="13" t="n">
        <x:v>0</x:v>
      </x:c>
      <x:c r="M17" s="15" t="n">
        <x:f>IF(I17=0,0,(K17+L17)/I17)</x:f>
        <x:v>3.25</x:v>
      </x:c>
      <x:c r="N17" s="13" t="n">
        <x:v>25.5</x:v>
      </x:c>
      <x:c r="O17" s="11" t="n">
        <x:v>1.01</x:v>
      </x:c>
      <x:c r="P17" s="11" t="n">
        <x:v>0.45</x:v>
      </x:c>
      <x:c r="Q17" s="13" t="n">
        <x:v>1.51</x:v>
      </x:c>
      <x:c r="R17" s="13" t="n">
        <x:v>30.5</x:v>
      </x:c>
      <x:c r="S17" s="13" t="n">
        <x:f>IF(OR(E17&lt;&gt;"Active",Q17=0),"-",R17/Q17)</x:f>
        <x:v>20.198675496688743</x:v>
      </x:c>
      <x:c r="T17" s="17" t="n">
        <x:v>201</x:v>
      </x:c>
    </x:row>
    <x:row r="18" ht="24" customHeight="1">
      <x:c r="A18" s="3" t="str">
        <x:v>Quindle</x:v>
      </x:c>
      <x:c r="B18" s="3" t="str">
        <x:v>Infrastructure</x:v>
      </x:c>
      <x:c r="C18" s="3" t="str">
        <x:v>Fund II</x:v>
      </x:c>
      <x:c r="D18" s="3" t="str">
        <x:v>Series A</x:v>
      </x:c>
      <x:c r="E18" s="3" t="str">
        <x:v>Active</x:v>
      </x:c>
      <x:c r="F18" s="8" t="n">
        <x:v>44973</x:v>
      </x:c>
      <x:c r="G18" s="8" t="n">
        <x:v>45239</x:v>
      </x:c>
      <x:c r="H18" s="12" t="n">
        <x:v>61.1</x:v>
      </x:c>
      <x:c r="I18" s="12" t="n">
        <x:v>6</x:v>
      </x:c>
      <x:c r="J18" s="10" t="n">
        <x:v>0.121</x:v>
      </x:c>
      <x:c r="K18" s="12" t="n">
        <x:v>7.4</x:v>
      </x:c>
      <x:c r="L18" s="12" t="n">
        <x:v>0</x:v>
      </x:c>
      <x:c r="M18" s="14" t="n">
        <x:f>IF(I18=0,0,(K18+L18)/I18)</x:f>
        <x:v>1.2333333333333334</x:v>
      </x:c>
      <x:c r="N18" s="12" t="n">
        <x:v>2.9</x:v>
      </x:c>
      <x:c r="O18" s="10" t="n">
        <x:v>1.26</x:v>
      </x:c>
      <x:c r="P18" s="10" t="n">
        <x:v>0.62</x:v>
      </x:c>
      <x:c r="Q18" s="12" t="n">
        <x:v>0.83</x:v>
      </x:c>
      <x:c r="R18" s="12" t="n">
        <x:v>12.3</x:v>
      </x:c>
      <x:c r="S18" s="12" t="n">
        <x:f>IF(OR(E18&lt;&gt;"Active",Q18=0),"-",R18/Q18)</x:f>
        <x:v>14.819277108433736</x:v>
      </x:c>
      <x:c r="T18" s="16" t="n">
        <x:v>64</x:v>
      </x:c>
    </x:row>
    <x:row r="19" ht="24" customHeight="1">
      <x:c r="A19" s="7" t="str">
        <x:v>Rivenmark</x:v>
      </x:c>
      <x:c r="B19" s="7" t="str">
        <x:v>Developer Tools</x:v>
      </x:c>
      <x:c r="C19" s="7" t="str">
        <x:v>Fund III</x:v>
      </x:c>
      <x:c r="D19" s="7" t="str">
        <x:v>Seed</x:v>
      </x:c>
      <x:c r="E19" s="7" t="str">
        <x:v>Active</x:v>
      </x:c>
      <x:c r="F19" s="9" t="n">
        <x:v>45385</x:v>
      </x:c>
      <x:c r="G19" s="9" t="n">
        <x:v>45863</x:v>
      </x:c>
      <x:c r="H19" s="13" t="n">
        <x:v>23.9</x:v>
      </x:c>
      <x:c r="I19" s="13" t="n">
        <x:v>2.2</x:v>
      </x:c>
      <x:c r="J19" s="11" t="n">
        <x:v>0.12</x:v>
      </x:c>
      <x:c r="K19" s="13" t="n">
        <x:v>2.9</x:v>
      </x:c>
      <x:c r="L19" s="13" t="n">
        <x:v>0</x:v>
      </x:c>
      <x:c r="M19" s="15" t="n">
        <x:f>IF(I19=0,0,(K19+L19)/I19)</x:f>
        <x:v>1.3181818181818181</x:v>
      </x:c>
      <x:c r="N19" s="13" t="n">
        <x:v>1.3</x:v>
      </x:c>
      <x:c r="O19" s="11" t="n">
        <x:v>2.44</x:v>
      </x:c>
      <x:c r="P19" s="11" t="n">
        <x:v>0.75</x:v>
      </x:c>
      <x:c r="Q19" s="13" t="n">
        <x:v>0.25</x:v>
      </x:c>
      <x:c r="R19" s="13" t="n">
        <x:v>4.1</x:v>
      </x:c>
      <x:c r="S19" s="13" t="n">
        <x:f>IF(OR(E19&lt;&gt;"Active",Q19=0),"-",R19/Q19)</x:f>
        <x:v>16.4</x:v>
      </x:c>
      <x:c r="T19" s="17" t="n">
        <x:v>17</x:v>
      </x:c>
    </x:row>
    <x:row r="20" ht="24" customHeight="1">
      <x:c r="A20" s="3" t="str">
        <x:v>Solvantra</x:v>
      </x:c>
      <x:c r="B20" s="3" t="str">
        <x:v>Fintech</x:v>
      </x:c>
      <x:c r="C20" s="3" t="str">
        <x:v>Fund II</x:v>
      </x:c>
      <x:c r="D20" s="3" t="str">
        <x:v>Series A</x:v>
      </x:c>
      <x:c r="E20" s="3" t="str">
        <x:v>Active</x:v>
      </x:c>
      <x:c r="F20" s="8" t="n">
        <x:v>45096</x:v>
      </x:c>
      <x:c r="G20" s="8" t="n">
        <x:v>45985</x:v>
      </x:c>
      <x:c r="H20" s="12" t="n">
        <x:v>75.5</x:v>
      </x:c>
      <x:c r="I20" s="12" t="n">
        <x:v>5.1</x:v>
      </x:c>
      <x:c r="J20" s="10" t="n">
        <x:v>0.118</x:v>
      </x:c>
      <x:c r="K20" s="12" t="n">
        <x:v>8.9</x:v>
      </x:c>
      <x:c r="L20" s="12" t="n">
        <x:v>0</x:v>
      </x:c>
      <x:c r="M20" s="14" t="n">
        <x:f>IF(I20=0,0,(K20+L20)/I20)</x:f>
        <x:v>1.7450980392156865</x:v>
      </x:c>
      <x:c r="N20" s="12" t="n">
        <x:v>3.6</x:v>
      </x:c>
      <x:c r="O20" s="10" t="n">
        <x:v>1.07</x:v>
      </x:c>
      <x:c r="P20" s="10" t="n">
        <x:v>0.46</x:v>
      </x:c>
      <x:c r="Q20" s="12" t="n">
        <x:v>0.8</x:v>
      </x:c>
      <x:c r="R20" s="12" t="n">
        <x:v>19.1</x:v>
      </x:c>
      <x:c r="S20" s="12" t="n">
        <x:f>IF(OR(E20&lt;&gt;"Active",Q20=0),"-",R20/Q20)</x:f>
        <x:v>23.875</x:v>
      </x:c>
      <x:c r="T20" s="16" t="n">
        <x:v>25</x:v>
      </x:c>
    </x:row>
    <x:row r="21" ht="24" customHeight="1">
      <x:c r="A21" s="7" t="str">
        <x:v>Tarnwick Aerospace</x:v>
      </x:c>
      <x:c r="B21" s="7" t="str">
        <x:v>Enterprise SaaS</x:v>
      </x:c>
      <x:c r="C21" s="7" t="str">
        <x:v>Fund II</x:v>
      </x:c>
      <x:c r="D21" s="7" t="str">
        <x:v>Seed</x:v>
      </x:c>
      <x:c r="E21" s="7" t="str">
        <x:v>Active</x:v>
      </x:c>
      <x:c r="F21" s="9" t="n">
        <x:v>44696</x:v>
      </x:c>
      <x:c r="G21" s="9" t="n">
        <x:v>44696</x:v>
      </x:c>
      <x:c r="H21" s="13" t="n">
        <x:v>23.9</x:v>
      </x:c>
      <x:c r="I21" s="13" t="n">
        <x:v>1</x:v>
      </x:c>
      <x:c r="J21" s="11" t="n">
        <x:v>0.083</x:v>
      </x:c>
      <x:c r="K21" s="13" t="n">
        <x:v>2</x:v>
      </x:c>
      <x:c r="L21" s="13" t="n">
        <x:v>0</x:v>
      </x:c>
      <x:c r="M21" s="15" t="n">
        <x:f>IF(I21=0,0,(K21+L21)/I21)</x:f>
        <x:v>2</x:v>
      </x:c>
      <x:c r="N21" s="13" t="n">
        <x:v>1.4</x:v>
      </x:c>
      <x:c r="O21" s="11" t="n">
        <x:v>-0.16</x:v>
      </x:c>
      <x:c r="P21" s="11" t="n">
        <x:v>0.68</x:v>
      </x:c>
      <x:c r="Q21" s="13" t="n">
        <x:v>0.29</x:v>
      </x:c>
      <x:c r="R21" s="13" t="n">
        <x:v>9.7</x:v>
      </x:c>
      <x:c r="S21" s="13" t="n">
        <x:f>IF(OR(E21&lt;&gt;"Active",Q21=0),"-",R21/Q21)</x:f>
        <x:v>33.44827586206897</x:v>
      </x:c>
      <x:c r="T21" s="17" t="n">
        <x:v>7</x:v>
      </x:c>
    </x:row>
    <x:row r="22" ht="24" customHeight="1">
      <x:c r="A22" s="3" t="str">
        <x:v>Umberly</x:v>
      </x:c>
      <x:c r="B22" s="3" t="str">
        <x:v>AI/ML</x:v>
      </x:c>
      <x:c r="C22" s="3" t="str">
        <x:v>Fund II</x:v>
      </x:c>
      <x:c r="D22" s="3" t="str">
        <x:v>Series B</x:v>
      </x:c>
      <x:c r="E22" s="3" t="str">
        <x:v>Active</x:v>
      </x:c>
      <x:c r="F22" s="8" t="n">
        <x:v>44499</x:v>
      </x:c>
      <x:c r="G22" s="8" t="n">
        <x:v>45208</x:v>
      </x:c>
      <x:c r="H22" s="12" t="n">
        <x:v>279.8</x:v>
      </x:c>
      <x:c r="I22" s="12" t="n">
        <x:v>10</x:v>
      </x:c>
      <x:c r="J22" s="10" t="n">
        <x:v>0.086</x:v>
      </x:c>
      <x:c r="K22" s="12" t="n">
        <x:v>24.1</x:v>
      </x:c>
      <x:c r="L22" s="12" t="n">
        <x:v>0</x:v>
      </x:c>
      <x:c r="M22" s="14" t="n">
        <x:f>IF(I22=0,0,(K22+L22)/I22)</x:f>
        <x:v>2.41</x:v>
      </x:c>
      <x:c r="N22" s="12" t="n">
        <x:v>31.7</x:v>
      </x:c>
      <x:c r="O22" s="10" t="n">
        <x:v>0.45</x:v>
      </x:c>
      <x:c r="P22" s="10" t="n">
        <x:v>0.59</x:v>
      </x:c>
      <x:c r="Q22" s="12" t="n">
        <x:v>1.36</x:v>
      </x:c>
      <x:c r="R22" s="12" t="n">
        <x:v>5.6</x:v>
      </x:c>
      <x:c r="S22" s="12" t="n">
        <x:f>IF(OR(E22&lt;&gt;"Active",Q22=0),"-",R22/Q22)</x:f>
        <x:v>4.117647058823529</x:v>
      </x:c>
      <x:c r="T22" s="16" t="n">
        <x:v>174</x:v>
      </x:c>
    </x:row>
    <x:row r="23" ht="24" customHeight="1">
      <x:c r="A23" s="7" t="str">
        <x:v>Vexmoor</x:v>
      </x:c>
      <x:c r="B23" s="7" t="str">
        <x:v>Space &amp; Defense</x:v>
      </x:c>
      <x:c r="C23" s="7" t="str">
        <x:v>Fund I</x:v>
      </x:c>
      <x:c r="D23" s="7" t="str">
        <x:v>Series C</x:v>
      </x:c>
      <x:c r="E23" s="7" t="str">
        <x:v>Active</x:v>
      </x:c>
      <x:c r="F23" s="9" t="n">
        <x:v>44315</x:v>
      </x:c>
      <x:c r="G23" s="9" t="n">
        <x:v>45782</x:v>
      </x:c>
      <x:c r="H23" s="13" t="n">
        <x:v>398.1</x:v>
      </x:c>
      <x:c r="I23" s="13" t="n">
        <x:v>6</x:v>
      </x:c>
      <x:c r="J23" s="11" t="n">
        <x:v>0.057</x:v>
      </x:c>
      <x:c r="K23" s="13" t="n">
        <x:v>22.7</x:v>
      </x:c>
      <x:c r="L23" s="13" t="n">
        <x:v>0</x:v>
      </x:c>
      <x:c r="M23" s="15" t="n">
        <x:f>IF(I23=0,0,(K23+L23)/I23)</x:f>
        <x:v>3.783333333333333</x:v>
      </x:c>
      <x:c r="N23" s="13" t="n">
        <x:v>71.8</x:v>
      </x:c>
      <x:c r="O23" s="11" t="n">
        <x:v>0.29</x:v>
      </x:c>
      <x:c r="P23" s="11" t="n">
        <x:v>0.37</x:v>
      </x:c>
      <x:c r="Q23" s="13" t="n">
        <x:v>0.88</x:v>
      </x:c>
      <x:c r="R23" s="13" t="n">
        <x:v>16.6</x:v>
      </x:c>
      <x:c r="S23" s="13" t="n">
        <x:f>IF(OR(E23&lt;&gt;"Active",Q23=0),"-",R23/Q23)</x:f>
        <x:v>18.863636363636367</x:v>
      </x:c>
      <x:c r="T23" s="17" t="n">
        <x:v>343</x:v>
      </x:c>
    </x:row>
    <x:row r="24" ht="24" customHeight="1">
      <x:c r="A24" s="3" t="str">
        <x:v>Wrenfield Data</x:v>
      </x:c>
      <x:c r="B24" s="3" t="str">
        <x:v>Fintech</x:v>
      </x:c>
      <x:c r="C24" s="3" t="str">
        <x:v>Fund I</x:v>
      </x:c>
      <x:c r="D24" s="3" t="str">
        <x:v>Series C</x:v>
      </x:c>
      <x:c r="E24" s="3" t="str">
        <x:v>Active</x:v>
      </x:c>
      <x:c r="F24" s="8" t="n">
        <x:v>43791</x:v>
      </x:c>
      <x:c r="G24" s="8" t="n">
        <x:v>44980</x:v>
      </x:c>
      <x:c r="H24" s="12" t="n">
        <x:v>562.1</x:v>
      </x:c>
      <x:c r="I24" s="12" t="n">
        <x:v>6</x:v>
      </x:c>
      <x:c r="J24" s="10" t="n">
        <x:v>0.022</x:v>
      </x:c>
      <x:c r="K24" s="12" t="n">
        <x:v>12.4</x:v>
      </x:c>
      <x:c r="L24" s="12" t="n">
        <x:v>0</x:v>
      </x:c>
      <x:c r="M24" s="14" t="n">
        <x:f>IF(I24=0,0,(K24+L24)/I24)</x:f>
        <x:v>2.066666666666667</x:v>
      </x:c>
      <x:c r="N24" s="12" t="n">
        <x:v>78.7</x:v>
      </x:c>
      <x:c r="O24" s="10" t="n">
        <x:v>0.75</x:v>
      </x:c>
      <x:c r="P24" s="10" t="n">
        <x:v>0.51</x:v>
      </x:c>
      <x:c r="Q24" s="12" t="n">
        <x:v>1.75</x:v>
      </x:c>
      <x:c r="R24" s="12" t="n">
        <x:v>29.7</x:v>
      </x:c>
      <x:c r="S24" s="12" t="n">
        <x:f>IF(OR(E24&lt;&gt;"Active",Q24=0),"-",R24/Q24)</x:f>
        <x:v>16.97142857142857</x:v>
      </x:c>
      <x:c r="T24" s="16" t="n">
        <x:v>482</x:v>
      </x:c>
    </x:row>
    <x:row r="25" ht="24" customHeight="1">
      <x:c r="A25" s="7" t="str">
        <x:v>Xalorin</x:v>
      </x:c>
      <x:c r="B25" s="7" t="str">
        <x:v>Infrastructure</x:v>
      </x:c>
      <x:c r="C25" s="7" t="str">
        <x:v>Fund II</x:v>
      </x:c>
      <x:c r="D25" s="7" t="str">
        <x:v>Series B</x:v>
      </x:c>
      <x:c r="E25" s="7" t="str">
        <x:v>Active</x:v>
      </x:c>
      <x:c r="F25" s="9" t="n">
        <x:v>44801</x:v>
      </x:c>
      <x:c r="G25" s="9" t="n">
        <x:v>45151</x:v>
      </x:c>
      <x:c r="H25" s="13" t="n">
        <x:v>97.6</x:v>
      </x:c>
      <x:c r="I25" s="13" t="n">
        <x:v>4</x:v>
      </x:c>
      <x:c r="J25" s="11" t="n">
        <x:v>0.063</x:v>
      </x:c>
      <x:c r="K25" s="13" t="n">
        <x:v>6.1</x:v>
      </x:c>
      <x:c r="L25" s="13" t="n">
        <x:v>0</x:v>
      </x:c>
      <x:c r="M25" s="15" t="n">
        <x:f>IF(I25=0,0,(K25+L25)/I25)</x:f>
        <x:v>1.525</x:v>
      </x:c>
      <x:c r="N25" s="13" t="n">
        <x:v>12.2</x:v>
      </x:c>
      <x:c r="O25" s="11" t="n">
        <x:v>1.08</x:v>
      </x:c>
      <x:c r="P25" s="11" t="n">
        <x:v>0.56</x:v>
      </x:c>
      <x:c r="Q25" s="13" t="n">
        <x:v>0.78</x:v>
      </x:c>
      <x:c r="R25" s="13" t="n">
        <x:v>20.7</x:v>
      </x:c>
      <x:c r="S25" s="13" t="n">
        <x:f>IF(OR(E25&lt;&gt;"Active",Q25=0),"-",R25/Q25)</x:f>
        <x:v>26.538461538461537</x:v>
      </x:c>
      <x:c r="T25" s="17" t="n">
        <x:v>196</x:v>
      </x:c>
    </x:row>
    <x:row r="26" ht="24" customHeight="1">
      <x:c r="A26" s="3" t="str">
        <x:v>Yondermist</x:v>
      </x:c>
      <x:c r="B26" s="3" t="str">
        <x:v>Healthcare</x:v>
      </x:c>
      <x:c r="C26" s="3" t="str">
        <x:v>Fund III</x:v>
      </x:c>
      <x:c r="D26" s="3" t="str">
        <x:v>Seed</x:v>
      </x:c>
      <x:c r="E26" s="3" t="str">
        <x:v>Active</x:v>
      </x:c>
      <x:c r="F26" s="8" t="n">
        <x:v>45466</x:v>
      </x:c>
      <x:c r="G26" s="8" t="n">
        <x:v>45466</x:v>
      </x:c>
      <x:c r="H26" s="12" t="n">
        <x:v>14.2</x:v>
      </x:c>
      <x:c r="I26" s="12" t="n">
        <x:v>1.2</x:v>
      </x:c>
      <x:c r="J26" s="10" t="n">
        <x:v>0.091</x:v>
      </x:c>
      <x:c r="K26" s="12" t="n">
        <x:v>1.3</x:v>
      </x:c>
      <x:c r="L26" s="12" t="n">
        <x:v>0</x:v>
      </x:c>
      <x:c r="M26" s="14" t="n">
        <x:f>IF(I26=0,0,(K26+L26)/I26)</x:f>
        <x:v>1.0833333333333335</x:v>
      </x:c>
      <x:c r="N26" s="12" t="n">
        <x:v>0.8</x:v>
      </x:c>
      <x:c r="O26" s="10" t="n">
        <x:v>1.49</x:v>
      </x:c>
      <x:c r="P26" s="10" t="n">
        <x:v>0.65</x:v>
      </x:c>
      <x:c r="Q26" s="12" t="n">
        <x:v>0.32</x:v>
      </x:c>
      <x:c r="R26" s="12" t="n">
        <x:v>5</x:v>
      </x:c>
      <x:c r="S26" s="12" t="n">
        <x:f>IF(OR(E26&lt;&gt;"Active",Q26=0),"-",R26/Q26)</x:f>
        <x:v>15.625</x:v>
      </x:c>
      <x:c r="T26" s="16" t="n">
        <x:v>10</x:v>
      </x:c>
    </x:row>
    <x:row r="27" ht="24" customHeight="1">
      <x:c r="A27" s="7" t="str">
        <x:v>Zephrine</x:v>
      </x:c>
      <x:c r="B27" s="7" t="str">
        <x:v>Enterprise SaaS</x:v>
      </x:c>
      <x:c r="C27" s="7" t="str">
        <x:v>Fund III</x:v>
      </x:c>
      <x:c r="D27" s="7" t="str">
        <x:v>Seed</x:v>
      </x:c>
      <x:c r="E27" s="7" t="str">
        <x:v>Active</x:v>
      </x:c>
      <x:c r="F27" s="9" t="n">
        <x:v>45336</x:v>
      </x:c>
      <x:c r="G27" s="9" t="n">
        <x:v>45336</x:v>
      </x:c>
      <x:c r="H27" s="13" t="n">
        <x:v>9.3</x:v>
      </x:c>
      <x:c r="I27" s="13" t="n">
        <x:v>2.5</x:v>
      </x:c>
      <x:c r="J27" s="11" t="n">
        <x:v>0.116</x:v>
      </x:c>
      <x:c r="K27" s="13" t="n">
        <x:v>1.1</x:v>
      </x:c>
      <x:c r="L27" s="13" t="n">
        <x:v>0</x:v>
      </x:c>
      <x:c r="M27" s="15" t="n">
        <x:f>IF(I27=0,0,(K27+L27)/I27)</x:f>
        <x:v>0.44000000000000006</x:v>
      </x:c>
      <x:c r="N27" s="13" t="n">
        <x:v>1.5</x:v>
      </x:c>
      <x:c r="O27" s="11" t="n">
        <x:v>1.02</x:v>
      </x:c>
      <x:c r="P27" s="11" t="n">
        <x:v>0.75</x:v>
      </x:c>
      <x:c r="Q27" s="13" t="n">
        <x:v>0.21</x:v>
      </x:c>
      <x:c r="R27" s="13" t="n">
        <x:v>6.9</x:v>
      </x:c>
      <x:c r="S27" s="13" t="n">
        <x:f>IF(OR(E27&lt;&gt;"Active",Q27=0),"-",R27/Q27)</x:f>
        <x:v>32.85714285714286</x:v>
      </x:c>
      <x:c r="T27" s="17" t="n">
        <x:v>20</x:v>
      </x:c>
    </x:row>
    <x:row r="28" ht="24" customHeight="1">
      <x:c r="A28" s="3" t="str">
        <x:v>Arcfoundry</x:v>
      </x:c>
      <x:c r="B28" s="3" t="str">
        <x:v>Developer Tools</x:v>
      </x:c>
      <x:c r="C28" s="3" t="str">
        <x:v>Fund III</x:v>
      </x:c>
      <x:c r="D28" s="3" t="str">
        <x:v>Seed</x:v>
      </x:c>
      <x:c r="E28" s="3" t="str">
        <x:v>Active</x:v>
      </x:c>
      <x:c r="F28" s="8" t="n">
        <x:v>45240</x:v>
      </x:c>
      <x:c r="G28" s="8" t="n">
        <x:v>45240</x:v>
      </x:c>
      <x:c r="H28" s="12" t="n">
        <x:v>21.2</x:v>
      </x:c>
      <x:c r="I28" s="12" t="n">
        <x:v>1.5</x:v>
      </x:c>
      <x:c r="J28" s="10" t="n">
        <x:v>0.064</x:v>
      </x:c>
      <x:c r="K28" s="12" t="n">
        <x:v>1.4</x:v>
      </x:c>
      <x:c r="L28" s="12" t="n">
        <x:v>0</x:v>
      </x:c>
      <x:c r="M28" s="14" t="n">
        <x:f>IF(I28=0,0,(K28+L28)/I28)</x:f>
        <x:v>0.9333333333333332</x:v>
      </x:c>
      <x:c r="N28" s="12" t="n">
        <x:v>0.7</x:v>
      </x:c>
      <x:c r="O28" s="10" t="n">
        <x:v>2.7</x:v>
      </x:c>
      <x:c r="P28" s="10" t="n">
        <x:v>0.81</x:v>
      </x:c>
      <x:c r="Q28" s="12" t="n">
        <x:v>0.3</x:v>
      </x:c>
      <x:c r="R28" s="12" t="n">
        <x:v>8.7</x:v>
      </x:c>
      <x:c r="S28" s="12" t="n">
        <x:f>IF(OR(E28&lt;&gt;"Active",Q28=0),"-",R28/Q28)</x:f>
        <x:v>29</x:v>
      </x:c>
      <x:c r="T28" s="16" t="n">
        <x:v>21</x:v>
      </x:c>
    </x:row>
    <x:row r="29" ht="24" customHeight="1">
      <x:c r="A29" s="7" t="str">
        <x:v>Brumewell</x:v>
      </x:c>
      <x:c r="B29" s="7" t="str">
        <x:v>AI/ML</x:v>
      </x:c>
      <x:c r="C29" s="7" t="str">
        <x:v>Fund II</x:v>
      </x:c>
      <x:c r="D29" s="7" t="str">
        <x:v>Series B</x:v>
      </x:c>
      <x:c r="E29" s="7" t="str">
        <x:v>Active</x:v>
      </x:c>
      <x:c r="F29" s="9" t="n">
        <x:v>44959</x:v>
      </x:c>
      <x:c r="G29" s="9" t="n">
        <x:v>45467</x:v>
      </x:c>
      <x:c r="H29" s="13" t="n">
        <x:v>246.7</x:v>
      </x:c>
      <x:c r="I29" s="13" t="n">
        <x:v>10</x:v>
      </x:c>
      <x:c r="J29" s="11" t="n">
        <x:v>0.075</x:v>
      </x:c>
      <x:c r="K29" s="13" t="n">
        <x:v>18.5</x:v>
      </x:c>
      <x:c r="L29" s="13" t="n">
        <x:v>0</x:v>
      </x:c>
      <x:c r="M29" s="15" t="n">
        <x:f>IF(I29=0,0,(K29+L29)/I29)</x:f>
        <x:v>1.85</x:v>
      </x:c>
      <x:c r="N29" s="13" t="n">
        <x:v>12</x:v>
      </x:c>
      <x:c r="O29" s="11" t="n">
        <x:v>-0.21</x:v>
      </x:c>
      <x:c r="P29" s="11" t="n">
        <x:v>0.59</x:v>
      </x:c>
      <x:c r="Q29" s="13" t="n">
        <x:v>1.88</x:v>
      </x:c>
      <x:c r="R29" s="13" t="n">
        <x:v>47.2</x:v>
      </x:c>
      <x:c r="S29" s="13" t="n">
        <x:f>IF(OR(E29&lt;&gt;"Active",Q29=0),"-",R29/Q29)</x:f>
        <x:v>25.106382978723406</x:v>
      </x:c>
      <x:c r="T29" s="17" t="n">
        <x:v>195</x:v>
      </x:c>
    </x:row>
    <x:row r="30" ht="24" customHeight="1">
      <x:c r="A30" s="3" t="str">
        <x:v>Cascabel Labs</x:v>
      </x:c>
      <x:c r="B30" s="3" t="str">
        <x:v>AI/ML</x:v>
      </x:c>
      <x:c r="C30" s="3" t="str">
        <x:v>Fund II</x:v>
      </x:c>
      <x:c r="D30" s="3" t="str">
        <x:v>Series A</x:v>
      </x:c>
      <x:c r="E30" s="3" t="str">
        <x:v>Active</x:v>
      </x:c>
      <x:c r="F30" s="8" t="n">
        <x:v>45176</x:v>
      </x:c>
      <x:c r="G30" s="8" t="n">
        <x:v>45648</x:v>
      </x:c>
      <x:c r="H30" s="12" t="n">
        <x:v>86.2</x:v>
      </x:c>
      <x:c r="I30" s="12" t="n">
        <x:v>4.1</x:v>
      </x:c>
      <x:c r="J30" s="10" t="n">
        <x:v>0.072</x:v>
      </x:c>
      <x:c r="K30" s="12" t="n">
        <x:v>6.2</x:v>
      </x:c>
      <x:c r="L30" s="12" t="n">
        <x:v>0</x:v>
      </x:c>
      <x:c r="M30" s="14" t="n">
        <x:f>IF(I30=0,0,(K30+L30)/I30)</x:f>
        <x:v>1.5121951219512197</x:v>
      </x:c>
      <x:c r="N30" s="12" t="n">
        <x:v>1.6</x:v>
      </x:c>
      <x:c r="O30" s="10" t="n">
        <x:v>1.94</x:v>
      </x:c>
      <x:c r="P30" s="10" t="n">
        <x:v>0.68</x:v>
      </x:c>
      <x:c r="Q30" s="12" t="n">
        <x:v>0.77</x:v>
      </x:c>
      <x:c r="R30" s="12" t="n">
        <x:v>14.1</x:v>
      </x:c>
      <x:c r="S30" s="12" t="n">
        <x:f>IF(OR(E30&lt;&gt;"Active",Q30=0),"-",R30/Q30)</x:f>
        <x:v>18.31168831168831</x:v>
      </x:c>
      <x:c r="T30" s="16" t="n">
        <x:v>49</x:v>
      </x:c>
    </x:row>
    <x:row r="31" ht="24" customHeight="1">
      <x:c r="A31" s="7" t="str">
        <x:v>Drayvenn</x:v>
      </x:c>
      <x:c r="B31" s="7" t="str">
        <x:v>Space &amp; Defense</x:v>
      </x:c>
      <x:c r="C31" s="7" t="str">
        <x:v>Fund I</x:v>
      </x:c>
      <x:c r="D31" s="7" t="str">
        <x:v>Series D+</x:v>
      </x:c>
      <x:c r="E31" s="7" t="str">
        <x:v>Active</x:v>
      </x:c>
      <x:c r="F31" s="9" t="n">
        <x:v>44208</x:v>
      </x:c>
      <x:c r="G31" s="9" t="n">
        <x:v>45236</x:v>
      </x:c>
      <x:c r="H31" s="13" t="n">
        <x:v>2362.7</x:v>
      </x:c>
      <x:c r="I31" s="13" t="n">
        <x:v>20</x:v>
      </x:c>
      <x:c r="J31" s="11" t="n">
        <x:v>0.034</x:v>
      </x:c>
      <x:c r="K31" s="13" t="n">
        <x:v>80.3</x:v>
      </x:c>
      <x:c r="L31" s="13" t="n">
        <x:v>0</x:v>
      </x:c>
      <x:c r="M31" s="15" t="n">
        <x:f>IF(I31=0,0,(K31+L31)/I31)</x:f>
        <x:v>4.015</x:v>
      </x:c>
      <x:c r="N31" s="13" t="n">
        <x:v>148.9</x:v>
      </x:c>
      <x:c r="O31" s="11" t="n">
        <x:v>0.43</x:v>
      </x:c>
      <x:c r="P31" s="11" t="n">
        <x:v>0.46</x:v>
      </x:c>
      <x:c r="Q31" s="13" t="n">
        <x:v>1.51</x:v>
      </x:c>
      <x:c r="R31" s="13" t="n">
        <x:v>40.3</x:v>
      </x:c>
      <x:c r="S31" s="13" t="n">
        <x:f>IF(OR(E31&lt;&gt;"Active",Q31=0),"-",R31/Q31)</x:f>
        <x:v>26.688741721854303</x:v>
      </x:c>
      <x:c r="T31" s="17" t="n">
        <x:v>1413</x:v>
      </x:c>
    </x:row>
    <x:row r="32" ht="24" customHeight="1">
      <x:c r="A32" s="3" t="str">
        <x:v>Eastport Compute</x:v>
      </x:c>
      <x:c r="B32" s="3" t="str">
        <x:v>Enterprise SaaS</x:v>
      </x:c>
      <x:c r="C32" s="3" t="str">
        <x:v>Fund III</x:v>
      </x:c>
      <x:c r="D32" s="3" t="str">
        <x:v>Series A</x:v>
      </x:c>
      <x:c r="E32" s="3" t="str">
        <x:v>Active</x:v>
      </x:c>
      <x:c r="F32" s="8" t="n">
        <x:v>45618</x:v>
      </x:c>
      <x:c r="G32" s="8" t="n">
        <x:v>45898</x:v>
      </x:c>
      <x:c r="H32" s="12" t="n">
        <x:v>14.2</x:v>
      </x:c>
      <x:c r="I32" s="12" t="n">
        <x:v>6</x:v>
      </x:c>
      <x:c r="J32" s="10" t="n">
        <x:v>0.122</x:v>
      </x:c>
      <x:c r="K32" s="12" t="n">
        <x:v>1.7</x:v>
      </x:c>
      <x:c r="L32" s="12" t="n">
        <x:v>0</x:v>
      </x:c>
      <x:c r="M32" s="14" t="n">
        <x:f>IF(I32=0,0,(K32+L32)/I32)</x:f>
        <x:v>0.2833333333333333</x:v>
      </x:c>
      <x:c r="N32" s="12" t="n">
        <x:v>6.1</x:v>
      </x:c>
      <x:c r="O32" s="10" t="n">
        <x:v>0.42</x:v>
      </x:c>
      <x:c r="P32" s="10" t="n">
        <x:v>0.84</x:v>
      </x:c>
      <x:c r="Q32" s="12" t="n">
        <x:v>0.55</x:v>
      </x:c>
      <x:c r="R32" s="12" t="n">
        <x:v>11.6</x:v>
      </x:c>
      <x:c r="S32" s="12" t="n">
        <x:f>IF(OR(E32&lt;&gt;"Active",Q32=0),"-",R32/Q32)</x:f>
        <x:v>21.09090909090909</x:v>
      </x:c>
      <x:c r="T32" s="16" t="n">
        <x:v>22</x:v>
      </x:c>
    </x:row>
    <x:row r="33" ht="24" customHeight="1">
      <x:c r="A33" s="7" t="str">
        <x:v>Fallowmere</x:v>
      </x:c>
      <x:c r="B33" s="7" t="str">
        <x:v>Data &amp; Analytics</x:v>
      </x:c>
      <x:c r="C33" s="7" t="str">
        <x:v>Fund I</x:v>
      </x:c>
      <x:c r="D33" s="7" t="str">
        <x:v>Series B</x:v>
      </x:c>
      <x:c r="E33" s="7" t="str">
        <x:v>Active</x:v>
      </x:c>
      <x:c r="F33" s="9" t="n">
        <x:v>44139</x:v>
      </x:c>
      <x:c r="G33" s="9" t="n">
        <x:v>45342</x:v>
      </x:c>
      <x:c r="H33" s="13" t="n">
        <x:v>258.1</x:v>
      </x:c>
      <x:c r="I33" s="13" t="n">
        <x:v>4</x:v>
      </x:c>
      <x:c r="J33" s="11" t="n">
        <x:v>0.04</x:v>
      </x:c>
      <x:c r="K33" s="13" t="n">
        <x:v>10.3</x:v>
      </x:c>
      <x:c r="L33" s="13" t="n">
        <x:v>0</x:v>
      </x:c>
      <x:c r="M33" s="15" t="n">
        <x:f>IF(I33=0,0,(K33+L33)/I33)</x:f>
        <x:v>2.575</x:v>
      </x:c>
      <x:c r="N33" s="13" t="n">
        <x:v>21.4</x:v>
      </x:c>
      <x:c r="O33" s="11" t="n">
        <x:v>1.14</x:v>
      </x:c>
      <x:c r="P33" s="11" t="n">
        <x:v>0.63</x:v>
      </x:c>
      <x:c r="Q33" s="13" t="n">
        <x:v>1.18</x:v>
      </x:c>
      <x:c r="R33" s="13" t="n">
        <x:v>30.5</x:v>
      </x:c>
      <x:c r="S33" s="13" t="n">
        <x:f>IF(OR(E33&lt;&gt;"Active",Q33=0),"-",R33/Q33)</x:f>
        <x:v>25.847457627118647</x:v>
      </x:c>
      <x:c r="T33" s="17" t="n">
        <x:v>143</x:v>
      </x:c>
    </x:row>
    <x:row r="34" ht="24" customHeight="1">
      <x:c r="A34" s="3" t="str">
        <x:v>Glintworks</x:v>
      </x:c>
      <x:c r="B34" s="3" t="str">
        <x:v>Fintech</x:v>
      </x:c>
      <x:c r="C34" s="3" t="str">
        <x:v>Fund I</x:v>
      </x:c>
      <x:c r="D34" s="3" t="str">
        <x:v>Series C</x:v>
      </x:c>
      <x:c r="E34" s="3" t="str">
        <x:v>Active</x:v>
      </x:c>
      <x:c r="F34" s="8" t="n">
        <x:v>43583</x:v>
      </x:c>
      <x:c r="G34" s="8" t="n">
        <x:v>45116</x:v>
      </x:c>
      <x:c r="H34" s="12" t="n">
        <x:v>326</x:v>
      </x:c>
      <x:c r="I34" s="12" t="n">
        <x:v>14</x:v>
      </x:c>
      <x:c r="J34" s="10" t="n">
        <x:v>0.044</x:v>
      </x:c>
      <x:c r="K34" s="12" t="n">
        <x:v>14.3</x:v>
      </x:c>
      <x:c r="L34" s="12" t="n">
        <x:v>0</x:v>
      </x:c>
      <x:c r="M34" s="14" t="n">
        <x:f>IF(I34=0,0,(K34+L34)/I34)</x:f>
        <x:v>1.0214285714285716</x:v>
      </x:c>
      <x:c r="N34" s="12" t="n">
        <x:v>39.1</x:v>
      </x:c>
      <x:c r="O34" s="10" t="n">
        <x:v>0.73</x:v>
      </x:c>
      <x:c r="P34" s="10" t="n">
        <x:v>0.5</x:v>
      </x:c>
      <x:c r="Q34" s="12" t="n">
        <x:v>1.89</x:v>
      </x:c>
      <x:c r="R34" s="12" t="n">
        <x:v>53.9</x:v>
      </x:c>
      <x:c r="S34" s="12" t="n">
        <x:f>IF(OR(E34&lt;&gt;"Active",Q34=0),"-",R34/Q34)</x:f>
        <x:v>28.51851851851852</x:v>
      </x:c>
      <x:c r="T34" s="16" t="n">
        <x:v>571</x:v>
      </x:c>
    </x:row>
    <x:row r="35" ht="24" customHeight="1">
      <x:c r="A35" s="7" t="str">
        <x:v>Hollowpine Robotics</x:v>
      </x:c>
      <x:c r="B35" s="7" t="str">
        <x:v>AI/ML</x:v>
      </x:c>
      <x:c r="C35" s="7" t="str">
        <x:v>Fund II</x:v>
      </x:c>
      <x:c r="D35" s="7" t="str">
        <x:v>Series C</x:v>
      </x:c>
      <x:c r="E35" s="7" t="str">
        <x:v>Active</x:v>
      </x:c>
      <x:c r="F35" s="9" t="n">
        <x:v>44959</x:v>
      </x:c>
      <x:c r="G35" s="9" t="n">
        <x:v>45272</x:v>
      </x:c>
      <x:c r="H35" s="13" t="n">
        <x:v>780.4</x:v>
      </x:c>
      <x:c r="I35" s="13" t="n">
        <x:v>11.9</x:v>
      </x:c>
      <x:c r="J35" s="11" t="n">
        <x:v>0.039</x:v>
      </x:c>
      <x:c r="K35" s="13" t="n">
        <x:v>30.4</x:v>
      </x:c>
      <x:c r="L35" s="13" t="n">
        <x:v>0</x:v>
      </x:c>
      <x:c r="M35" s="15" t="n">
        <x:f>IF(I35=0,0,(K35+L35)/I35)</x:f>
        <x:v>2.5546218487394956</x:v>
      </x:c>
      <x:c r="N35" s="13" t="n">
        <x:v>74.7</x:v>
      </x:c>
      <x:c r="O35" s="11" t="n">
        <x:v>0.62</x:v>
      </x:c>
      <x:c r="P35" s="11" t="n">
        <x:v>0.7</x:v>
      </x:c>
      <x:c r="Q35" s="13" t="n">
        <x:v>1.77</x:v>
      </x:c>
      <x:c r="R35" s="13" t="n">
        <x:v>43.1</x:v>
      </x:c>
      <x:c r="S35" s="13" t="n">
        <x:f>IF(OR(E35&lt;&gt;"Active",Q35=0),"-",R35/Q35)</x:f>
        <x:v>24.350282485875706</x:v>
      </x:c>
      <x:c r="T35" s="17" t="n">
        <x:v>412</x:v>
      </x:c>
    </x:row>
    <x:row r="36" ht="24" customHeight="1">
      <x:c r="A36" s="3" t="str">
        <x:v>Isoquill</x:v>
      </x:c>
      <x:c r="B36" s="3" t="str">
        <x:v>AI/ML</x:v>
      </x:c>
      <x:c r="C36" s="3" t="str">
        <x:v>Fund I</x:v>
      </x:c>
      <x:c r="D36" s="3" t="str">
        <x:v>Series B</x:v>
      </x:c>
      <x:c r="E36" s="3" t="str">
        <x:v>Active</x:v>
      </x:c>
      <x:c r="F36" s="8" t="n">
        <x:v>43773</x:v>
      </x:c>
      <x:c r="G36" s="8" t="n">
        <x:v>44856</x:v>
      </x:c>
      <x:c r="H36" s="12" t="n">
        <x:v>261.2</x:v>
      </x:c>
      <x:c r="I36" s="12" t="n">
        <x:v>10</x:v>
      </x:c>
      <x:c r="J36" s="10" t="n">
        <x:v>0.056</x:v>
      </x:c>
      <x:c r="K36" s="12" t="n">
        <x:v>14.6</x:v>
      </x:c>
      <x:c r="L36" s="12" t="n">
        <x:v>0</x:v>
      </x:c>
      <x:c r="M36" s="14" t="n">
        <x:f>IF(I36=0,0,(K36+L36)/I36)</x:f>
        <x:v>1.46</x:v>
      </x:c>
      <x:c r="N36" s="12" t="n">
        <x:v>26.1</x:v>
      </x:c>
      <x:c r="O36" s="10" t="n">
        <x:v>0.78</x:v>
      </x:c>
      <x:c r="P36" s="10" t="n">
        <x:v>0.63</x:v>
      </x:c>
      <x:c r="Q36" s="12" t="n">
        <x:v>1.74</x:v>
      </x:c>
      <x:c r="R36" s="12" t="n">
        <x:v>35.5</x:v>
      </x:c>
      <x:c r="S36" s="12" t="n">
        <x:f>IF(OR(E36&lt;&gt;"Active",Q36=0),"-",R36/Q36)</x:f>
        <x:v>20.402298850574713</x:v>
      </x:c>
      <x:c r="T36" s="16" t="n">
        <x:v>120</x:v>
      </x:c>
    </x:row>
    <x:row r="37" ht="24" customHeight="1">
      <x:c r="A37" s="7" t="str">
        <x:v>Jupelan</x:v>
      </x:c>
      <x:c r="B37" s="7" t="str">
        <x:v>Cybersecurity</x:v>
      </x:c>
      <x:c r="C37" s="7" t="str">
        <x:v>Fund II</x:v>
      </x:c>
      <x:c r="D37" s="7" t="str">
        <x:v>Series B</x:v>
      </x:c>
      <x:c r="E37" s="7" t="str">
        <x:v>Active</x:v>
      </x:c>
      <x:c r="F37" s="9" t="n">
        <x:v>45072</x:v>
      </x:c>
      <x:c r="G37" s="9" t="n">
        <x:v>45354</x:v>
      </x:c>
      <x:c r="H37" s="13" t="n">
        <x:v>192.9</x:v>
      </x:c>
      <x:c r="I37" s="13" t="n">
        <x:v>10</x:v>
      </x:c>
      <x:c r="J37" s="11" t="n">
        <x:v>0.074</x:v>
      </x:c>
      <x:c r="K37" s="13" t="n">
        <x:v>14.3</x:v>
      </x:c>
      <x:c r="L37" s="13" t="n">
        <x:v>0</x:v>
      </x:c>
      <x:c r="M37" s="15" t="n">
        <x:f>IF(I37=0,0,(K37+L37)/I37)</x:f>
        <x:v>1.4300000000000002</x:v>
      </x:c>
      <x:c r="N37" s="13" t="n">
        <x:v>28.6</x:v>
      </x:c>
      <x:c r="O37" s="11" t="n">
        <x:v>0.84</x:v>
      </x:c>
      <x:c r="P37" s="11" t="n">
        <x:v>0.74</x:v>
      </x:c>
      <x:c r="Q37" s="13" t="n">
        <x:v>1.5</x:v>
      </x:c>
      <x:c r="R37" s="13" t="n">
        <x:v>6.6</x:v>
      </x:c>
      <x:c r="S37" s="13" t="n">
        <x:f>IF(OR(E37&lt;&gt;"Active",Q37=0),"-",R37/Q37)</x:f>
        <x:v>4.3999999999999995</x:v>
      </x:c>
      <x:c r="T37" s="17" t="n">
        <x:v>185</x:v>
      </x:c>
    </x:row>
    <x:row r="38" ht="24" customHeight="1">
      <x:c r="A38" s="3" t="str">
        <x:v>Kestwick</x:v>
      </x:c>
      <x:c r="B38" s="3" t="str">
        <x:v>Fintech</x:v>
      </x:c>
      <x:c r="C38" s="3" t="str">
        <x:v>Fund III</x:v>
      </x:c>
      <x:c r="D38" s="3" t="str">
        <x:v>Seed</x:v>
      </x:c>
      <x:c r="E38" s="3" t="str">
        <x:v>Active</x:v>
      </x:c>
      <x:c r="F38" s="8" t="n">
        <x:v>45451</x:v>
      </x:c>
      <x:c r="G38" s="8" t="n">
        <x:v>45451</x:v>
      </x:c>
      <x:c r="H38" s="12" t="n">
        <x:v>12</x:v>
      </x:c>
      <x:c r="I38" s="12" t="n">
        <x:v>1.1</x:v>
      </x:c>
      <x:c r="J38" s="10" t="n">
        <x:v>0.078</x:v>
      </x:c>
      <x:c r="K38" s="12" t="n">
        <x:v>0.9</x:v>
      </x:c>
      <x:c r="L38" s="12" t="n">
        <x:v>0</x:v>
      </x:c>
      <x:c r="M38" s="14" t="n">
        <x:f>IF(I38=0,0,(K38+L38)/I38)</x:f>
        <x:v>0.8181818181818181</x:v>
      </x:c>
      <x:c r="N38" s="12" t="n">
        <x:v>0.6</x:v>
      </x:c>
      <x:c r="O38" s="10" t="n">
        <x:v>3</x:v>
      </x:c>
      <x:c r="P38" s="10" t="n">
        <x:v>0.54</x:v>
      </x:c>
      <x:c r="Q38" s="12" t="n">
        <x:v>0.2</x:v>
      </x:c>
      <x:c r="R38" s="12" t="n">
        <x:v>4.1</x:v>
      </x:c>
      <x:c r="S38" s="12" t="n">
        <x:f>IF(OR(E38&lt;&gt;"Active",Q38=0),"-",R38/Q38)</x:f>
        <x:v>20.499999999999996</x:v>
      </x:c>
      <x:c r="T38" s="16" t="n">
        <x:v>16</x:v>
      </x:c>
    </x:row>
    <x:row r="39" ht="24" customHeight="1">
      <x:c r="A39" s="7" t="str">
        <x:v>Larkspell</x:v>
      </x:c>
      <x:c r="B39" s="7" t="str">
        <x:v>Consumer</x:v>
      </x:c>
      <x:c r="C39" s="7" t="str">
        <x:v>Fund II</x:v>
      </x:c>
      <x:c r="D39" s="7" t="str">
        <x:v>Series A</x:v>
      </x:c>
      <x:c r="E39" s="7" t="str">
        <x:v>Active</x:v>
      </x:c>
      <x:c r="F39" s="9" t="n">
        <x:v>44580</x:v>
      </x:c>
      <x:c r="G39" s="9" t="n">
        <x:v>45607</x:v>
      </x:c>
      <x:c r="H39" s="13" t="n">
        <x:v>86.9</x:v>
      </x:c>
      <x:c r="I39" s="13" t="n">
        <x:v>6</x:v>
      </x:c>
      <x:c r="J39" s="11" t="n">
        <x:v>0.131</x:v>
      </x:c>
      <x:c r="K39" s="13" t="n">
        <x:v>11.4</x:v>
      </x:c>
      <x:c r="L39" s="13" t="n">
        <x:v>0</x:v>
      </x:c>
      <x:c r="M39" s="15" t="n">
        <x:f>IF(I39=0,0,(K39+L39)/I39)</x:f>
        <x:v>1.9000000000000001</x:v>
      </x:c>
      <x:c r="N39" s="13" t="n">
        <x:v>2.9</x:v>
      </x:c>
      <x:c r="O39" s="11" t="n">
        <x:v>1.82</x:v>
      </x:c>
      <x:c r="P39" s="11" t="n">
        <x:v>0.47</x:v>
      </x:c>
      <x:c r="Q39" s="13" t="n">
        <x:v>0.7</x:v>
      </x:c>
      <x:c r="R39" s="13" t="n">
        <x:v>4</x:v>
      </x:c>
      <x:c r="S39" s="13" t="n">
        <x:f>IF(OR(E39&lt;&gt;"Active",Q39=0),"-",R39/Q39)</x:f>
        <x:v>5.714285714285714</x:v>
      </x:c>
      <x:c r="T39" s="17" t="n">
        <x:v>31</x:v>
      </x:c>
    </x:row>
    <x:row r="40" ht="24" customHeight="1">
      <x:c r="A40" s="3" t="str">
        <x:v>Mossbriar Bio</x:v>
      </x:c>
      <x:c r="B40" s="3" t="str">
        <x:v>Developer Tools</x:v>
      </x:c>
      <x:c r="C40" s="3" t="str">
        <x:v>Fund II</x:v>
      </x:c>
      <x:c r="D40" s="3" t="str">
        <x:v>Series D+</x:v>
      </x:c>
      <x:c r="E40" s="3" t="str">
        <x:v>Active</x:v>
      </x:c>
      <x:c r="F40" s="8" t="n">
        <x:v>45090</x:v>
      </x:c>
      <x:c r="G40" s="8" t="n">
        <x:v>45497</x:v>
      </x:c>
      <x:c r="H40" s="12" t="n">
        <x:v>2012.1</x:v>
      </x:c>
      <x:c r="I40" s="12" t="n">
        <x:v>16</x:v>
      </x:c>
      <x:c r="J40" s="10" t="n">
        <x:v>0.015</x:v>
      </x:c>
      <x:c r="K40" s="12" t="n">
        <x:v>30.2</x:v>
      </x:c>
      <x:c r="L40" s="12" t="n">
        <x:v>0</x:v>
      </x:c>
      <x:c r="M40" s="14" t="n">
        <x:f>IF(I40=0,0,(K40+L40)/I40)</x:f>
        <x:v>1.8875</x:v>
      </x:c>
      <x:c r="N40" s="12" t="n">
        <x:v>227.3</x:v>
      </x:c>
      <x:c r="O40" s="10" t="n">
        <x:v>0.48</x:v>
      </x:c>
      <x:c r="P40" s="10" t="n">
        <x:v>0.76</x:v>
      </x:c>
      <x:c r="Q40" s="12" t="n">
        <x:v>3.46</x:v>
      </x:c>
      <x:c r="R40" s="12" t="n">
        <x:v>76.3</x:v>
      </x:c>
      <x:c r="S40" s="12" t="n">
        <x:f>IF(OR(E40&lt;&gt;"Active",Q40=0),"-",R40/Q40)</x:f>
        <x:v>22.052023121387283</x:v>
      </x:c>
      <x:c r="T40" s="16" t="n">
        <x:v>906</x:v>
      </x:c>
    </x:row>
    <x:row r="41" ht="24" customHeight="1">
      <x:c r="A41" s="7" t="str">
        <x:v>Nightloom Security</x:v>
      </x:c>
      <x:c r="B41" s="7" t="str">
        <x:v>Enterprise SaaS</x:v>
      </x:c>
      <x:c r="C41" s="7" t="str">
        <x:v>Fund II</x:v>
      </x:c>
      <x:c r="D41" s="7" t="str">
        <x:v>Seed</x:v>
      </x:c>
      <x:c r="E41" s="7" t="str">
        <x:v>Active</x:v>
      </x:c>
      <x:c r="F41" s="9" t="n">
        <x:v>45055</x:v>
      </x:c>
      <x:c r="G41" s="9" t="n">
        <x:v>45055</x:v>
      </x:c>
      <x:c r="H41" s="13" t="n">
        <x:v>9.8</x:v>
      </x:c>
      <x:c r="I41" s="13" t="n">
        <x:v>1.1</x:v>
      </x:c>
      <x:c r="J41" s="11" t="n">
        <x:v>0.079</x:v>
      </x:c>
      <x:c r="K41" s="13" t="n">
        <x:v>0.8</x:v>
      </x:c>
      <x:c r="L41" s="13" t="n">
        <x:v>0</x:v>
      </x:c>
      <x:c r="M41" s="15" t="n">
        <x:f>IF(I41=0,0,(K41+L41)/I41)</x:f>
        <x:v>0.7272727272727273</x:v>
      </x:c>
      <x:c r="N41" s="13" t="n">
        <x:v>1.2</x:v>
      </x:c>
      <x:c r="O41" s="11" t="n">
        <x:v>0.64</x:v>
      </x:c>
      <x:c r="P41" s="11" t="n">
        <x:v>0.8</x:v>
      </x:c>
      <x:c r="Q41" s="13" t="n">
        <x:v>0.3</x:v>
      </x:c>
      <x:c r="R41" s="13" t="n">
        <x:v>6.6</x:v>
      </x:c>
      <x:c r="S41" s="13" t="n">
        <x:f>IF(OR(E41&lt;&gt;"Active",Q41=0),"-",R41/Q41)</x:f>
        <x:v>22</x:v>
      </x:c>
      <x:c r="T41" s="17" t="n">
        <x:v>12</x:v>
      </x:c>
    </x:row>
    <x:row r="42" ht="24" customHeight="1">
      <x:c r="A42" s="3" t="str">
        <x:v>Oakenvale</x:v>
      </x:c>
      <x:c r="B42" s="3" t="str">
        <x:v>Healthcare</x:v>
      </x:c>
      <x:c r="C42" s="3" t="str">
        <x:v>Fund III</x:v>
      </x:c>
      <x:c r="D42" s="3" t="str">
        <x:v>Series A</x:v>
      </x:c>
      <x:c r="E42" s="3" t="str">
        <x:v>Active</x:v>
      </x:c>
      <x:c r="F42" s="8" t="n">
        <x:v>45445</x:v>
      </x:c>
      <x:c r="G42" s="8" t="n">
        <x:v>45679</x:v>
      </x:c>
      <x:c r="H42" s="12" t="n">
        <x:v>71</x:v>
      </x:c>
      <x:c r="I42" s="12" t="n">
        <x:v>5.9</x:v>
      </x:c>
      <x:c r="J42" s="10" t="n">
        <x:v>0.08</x:v>
      </x:c>
      <x:c r="K42" s="12" t="n">
        <x:v>5.7</x:v>
      </x:c>
      <x:c r="L42" s="12" t="n">
        <x:v>0</x:v>
      </x:c>
      <x:c r="M42" s="14" t="n">
        <x:f>IF(I42=0,0,(K42+L42)/I42)</x:f>
        <x:v>0.9661016949152542</x:v>
      </x:c>
      <x:c r="N42" s="12" t="n">
        <x:v>3.6</x:v>
      </x:c>
      <x:c r="O42" s="10" t="n">
        <x:v>-0.08</x:v>
      </x:c>
      <x:c r="P42" s="10" t="n">
        <x:v>0.51</x:v>
      </x:c>
      <x:c r="Q42" s="12" t="n">
        <x:v>0.56</x:v>
      </x:c>
      <x:c r="R42" s="12" t="n">
        <x:v>13.2</x:v>
      </x:c>
      <x:c r="S42" s="12" t="n">
        <x:f>IF(OR(E42&lt;&gt;"Active",Q42=0),"-",R42/Q42)</x:f>
        <x:v>23.57142857142857</x:v>
      </x:c>
      <x:c r="T42" s="16" t="n">
        <x:v>64</x:v>
      </x:c>
    </x:row>
    <x:row r="43" ht="24" customHeight="1">
      <x:c r="A43" s="7" t="str">
        <x:v>Pinwhistle</x:v>
      </x:c>
      <x:c r="B43" s="7" t="str">
        <x:v>Cybersecurity</x:v>
      </x:c>
      <x:c r="C43" s="7" t="str">
        <x:v>Fund II</x:v>
      </x:c>
      <x:c r="D43" s="7" t="str">
        <x:v>Series A</x:v>
      </x:c>
      <x:c r="E43" s="7" t="str">
        <x:v>Active</x:v>
      </x:c>
      <x:c r="F43" s="9" t="n">
        <x:v>44896</x:v>
      </x:c>
      <x:c r="G43" s="9" t="n">
        <x:v>45278</x:v>
      </x:c>
      <x:c r="H43" s="13" t="n">
        <x:v>87.7</x:v>
      </x:c>
      <x:c r="I43" s="13" t="n">
        <x:v>6</x:v>
      </x:c>
      <x:c r="J43" s="11" t="n">
        <x:v>0.083</x:v>
      </x:c>
      <x:c r="K43" s="13" t="n">
        <x:v>7.3</x:v>
      </x:c>
      <x:c r="L43" s="13" t="n">
        <x:v>0</x:v>
      </x:c>
      <x:c r="M43" s="15" t="n">
        <x:f>IF(I43=0,0,(K43+L43)/I43)</x:f>
        <x:v>1.2166666666666666</x:v>
      </x:c>
      <x:c r="N43" s="13" t="n">
        <x:v>2.8</x:v>
      </x:c>
      <x:c r="O43" s="11" t="n">
        <x:v>0.51</x:v>
      </x:c>
      <x:c r="P43" s="11" t="n">
        <x:v>0.72</x:v>
      </x:c>
      <x:c r="Q43" s="13" t="n">
        <x:v>0.75</x:v>
      </x:c>
      <x:c r="R43" s="13" t="n">
        <x:v>20.8</x:v>
      </x:c>
      <x:c r="S43" s="13" t="n">
        <x:f>IF(OR(E43&lt;&gt;"Active",Q43=0),"-",R43/Q43)</x:f>
        <x:v>27.733333333333334</x:v>
      </x:c>
      <x:c r="T43" s="17" t="n">
        <x:v>30</x:v>
      </x:c>
    </x:row>
    <x:row r="44" ht="24" customHeight="1">
      <x:c r="A44" s="3" t="str">
        <x:v>Quarrystone AI</x:v>
      </x:c>
      <x:c r="B44" s="3" t="str">
        <x:v>AI/ML</x:v>
      </x:c>
      <x:c r="C44" s="3" t="str">
        <x:v>Fund III</x:v>
      </x:c>
      <x:c r="D44" s="3" t="str">
        <x:v>Seed</x:v>
      </x:c>
      <x:c r="E44" s="3" t="str">
        <x:v>Active</x:v>
      </x:c>
      <x:c r="F44" s="8" t="n">
        <x:v>46009</x:v>
      </x:c>
      <x:c r="G44" s="8" t="n">
        <x:v>46009</x:v>
      </x:c>
      <x:c r="H44" s="12" t="n">
        <x:v>15.1</x:v>
      </x:c>
      <x:c r="I44" s="12" t="n">
        <x:v>1.8</x:v>
      </x:c>
      <x:c r="J44" s="10" t="n">
        <x:v>0.106</x:v>
      </x:c>
      <x:c r="K44" s="12" t="n">
        <x:v>1.6</x:v>
      </x:c>
      <x:c r="L44" s="12" t="n">
        <x:v>0</x:v>
      </x:c>
      <x:c r="M44" s="14" t="n">
        <x:f>IF(I44=0,0,(K44+L44)/I44)</x:f>
        <x:v>0.888888888888889</x:v>
      </x:c>
      <x:c r="N44" s="12" t="n">
        <x:v>1.4</x:v>
      </x:c>
      <x:c r="O44" s="10" t="n">
        <x:v>-0.32</x:v>
      </x:c>
      <x:c r="P44" s="10" t="n">
        <x:v>0.69</x:v>
      </x:c>
      <x:c r="Q44" s="12" t="n">
        <x:v>0.29</x:v>
      </x:c>
      <x:c r="R44" s="12" t="n">
        <x:v>8.2</x:v>
      </x:c>
      <x:c r="S44" s="12" t="n">
        <x:f>IF(OR(E44&lt;&gt;"Active",Q44=0),"-",R44/Q44)</x:f>
        <x:v>28.275862068965516</x:v>
      </x:c>
      <x:c r="T44" s="16" t="n">
        <x:v>8</x:v>
      </x:c>
    </x:row>
    <x:row r="45" ht="24" customHeight="1">
      <x:c r="A45" s="7" t="str">
        <x:v>Redgrove Health</x:v>
      </x:c>
      <x:c r="B45" s="7" t="str">
        <x:v>Robotics</x:v>
      </x:c>
      <x:c r="C45" s="7" t="str">
        <x:v>Fund II</x:v>
      </x:c>
      <x:c r="D45" s="7" t="str">
        <x:v>Series A</x:v>
      </x:c>
      <x:c r="E45" s="7" t="str">
        <x:v>Active</x:v>
      </x:c>
      <x:c r="F45" s="9" t="n">
        <x:v>44423</x:v>
      </x:c>
      <x:c r="G45" s="9" t="n">
        <x:v>45166</x:v>
      </x:c>
      <x:c r="H45" s="13" t="n">
        <x:v>22.8</x:v>
      </x:c>
      <x:c r="I45" s="13" t="n">
        <x:v>3.9</x:v>
      </x:c>
      <x:c r="J45" s="11" t="n">
        <x:v>0.095</x:v>
      </x:c>
      <x:c r="K45" s="13" t="n">
        <x:v>2.2</x:v>
      </x:c>
      <x:c r="L45" s="13" t="n">
        <x:v>0</x:v>
      </x:c>
      <x:c r="M45" s="15" t="n">
        <x:f>IF(I45=0,0,(K45+L45)/I45)</x:f>
        <x:v>0.5641025641025642</x:v>
      </x:c>
      <x:c r="N45" s="13" t="n">
        <x:v>2</x:v>
      </x:c>
      <x:c r="O45" s="11" t="n">
        <x:v>1.11</x:v>
      </x:c>
      <x:c r="P45" s="11" t="n">
        <x:v>0.39</x:v>
      </x:c>
      <x:c r="Q45" s="13" t="n">
        <x:v>0.34</x:v>
      </x:c>
      <x:c r="R45" s="13" t="n">
        <x:v>5.1</x:v>
      </x:c>
      <x:c r="S45" s="13" t="n">
        <x:f>IF(OR(E45&lt;&gt;"Active",Q45=0),"-",R45/Q45)</x:f>
        <x:v>14.999999999999998</x:v>
      </x:c>
      <x:c r="T45" s="17" t="n">
        <x:v>37</x:v>
      </x:c>
    </x:row>
    <x:row r="46" ht="24" customHeight="1">
      <x:c r="A46" s="3" t="str">
        <x:v>Saltmarsh Analytics</x:v>
      </x:c>
      <x:c r="B46" s="3" t="str">
        <x:v>Infrastructure</x:v>
      </x:c>
      <x:c r="C46" s="3" t="str">
        <x:v>Fund III</x:v>
      </x:c>
      <x:c r="D46" s="34" t="str">
        <x:v>Seed</x:v>
      </x:c>
      <x:c r="E46" s="3" t="str">
        <x:v>Active</x:v>
      </x:c>
      <x:c r="F46" s="8" t="n">
        <x:v>45374</x:v>
      </x:c>
      <x:c r="G46" s="35" t="n">
        <x:v>45736</x:v>
      </x:c>
      <x:c r="H46" s="33" t="n">
        <x:v>60</x:v>
      </x:c>
      <x:c r="I46" s="33" t="n">
        <x:v>4.8</x:v>
      </x:c>
      <x:c r="J46" s="36" t="n">
        <x:v>0.075</x:v>
      </x:c>
      <x:c r="K46" s="33" t="n">
        <x:v>4.5</x:v>
      </x:c>
      <x:c r="L46" s="12" t="n">
        <x:v>0</x:v>
      </x:c>
      <x:c r="M46" s="14" t="n">
        <x:f>IF(I46=0,0,(K46+L46)/I46)</x:f>
        <x:v>0.9375</x:v>
      </x:c>
      <x:c r="N46" s="12" t="n">
        <x:v>2.2</x:v>
      </x:c>
      <x:c r="O46" s="10" t="n">
        <x:v>1.16</x:v>
      </x:c>
      <x:c r="P46" s="10" t="n">
        <x:v>0.45</x:v>
      </x:c>
      <x:c r="Q46" s="12" t="n">
        <x:v>0.55</x:v>
      </x:c>
      <x:c r="R46" s="12" t="n">
        <x:v>8.5</x:v>
      </x:c>
      <x:c r="S46" s="12" t="n">
        <x:f>IF(OR(E46&lt;&gt;"Active",Q46=0),"-",R46/Q46)</x:f>
        <x:v>15.454545454545453</x:v>
      </x:c>
      <x:c r="T46" s="16" t="n">
        <x:v>34</x:v>
      </x:c>
    </x:row>
    <x:row r="47" ht="24" customHeight="1">
      <x:c r="A47" s="7" t="str">
        <x:v>Thistledown Energy</x:v>
      </x:c>
      <x:c r="B47" s="7" t="str">
        <x:v>Healthcare</x:v>
      </x:c>
      <x:c r="C47" s="7" t="str">
        <x:v>Fund III</x:v>
      </x:c>
      <x:c r="D47" s="7" t="str">
        <x:v>Seed</x:v>
      </x:c>
      <x:c r="E47" s="7" t="str">
        <x:v>Active</x:v>
      </x:c>
      <x:c r="F47" s="9" t="n">
        <x:v>45224</x:v>
      </x:c>
      <x:c r="G47" s="9" t="n">
        <x:v>45634</x:v>
      </x:c>
      <x:c r="H47" s="13" t="n">
        <x:v>12</x:v>
      </x:c>
      <x:c r="I47" s="13" t="n">
        <x:v>1</x:v>
      </x:c>
      <x:c r="J47" s="11" t="n">
        <x:v>0.097</x:v>
      </x:c>
      <x:c r="K47" s="13" t="n">
        <x:v>1.2</x:v>
      </x:c>
      <x:c r="L47" s="13" t="n">
        <x:v>0</x:v>
      </x:c>
      <x:c r="M47" s="15" t="n">
        <x:f>IF(I47=0,0,(K47+L47)/I47)</x:f>
        <x:v>1.2</x:v>
      </x:c>
      <x:c r="N47" s="13" t="n">
        <x:v>0.6</x:v>
      </x:c>
      <x:c r="O47" s="11" t="n">
        <x:v>2.54</x:v>
      </x:c>
      <x:c r="P47" s="11" t="n">
        <x:v>0.49</x:v>
      </x:c>
      <x:c r="Q47" s="13" t="n">
        <x:v>0.33</x:v>
      </x:c>
      <x:c r="R47" s="13" t="n">
        <x:v>10.4</x:v>
      </x:c>
      <x:c r="S47" s="13" t="n">
        <x:f>IF(OR(E47&lt;&gt;"Active",Q47=0),"-",R47/Q47)</x:f>
        <x:v>31.515151515151516</x:v>
      </x:c>
      <x:c r="T47" s="17" t="n">
        <x:v>16</x:v>
      </x:c>
    </x:row>
    <x:row r="48" ht="24" customHeight="1">
      <x:c r="A48" s="3" t="str">
        <x:v>Underbough</x:v>
      </x:c>
      <x:c r="B48" s="3" t="str">
        <x:v>Healthcare</x:v>
      </x:c>
      <x:c r="C48" s="3" t="str">
        <x:v>Fund III</x:v>
      </x:c>
      <x:c r="D48" s="3" t="str">
        <x:v>Seed</x:v>
      </x:c>
      <x:c r="E48" s="3" t="str">
        <x:v>Active</x:v>
      </x:c>
      <x:c r="F48" s="8" t="n">
        <x:v>45870</x:v>
      </x:c>
      <x:c r="G48" s="8" t="n">
        <x:v>45870</x:v>
      </x:c>
      <x:c r="H48" s="12" t="n">
        <x:v>10.3</x:v>
      </x:c>
      <x:c r="I48" s="12" t="n">
        <x:v>1.8</x:v>
      </x:c>
      <x:c r="J48" s="10" t="n">
        <x:v>0.096</x:v>
      </x:c>
      <x:c r="K48" s="12" t="n">
        <x:v>1</x:v>
      </x:c>
      <x:c r="L48" s="12" t="n">
        <x:v>0</x:v>
      </x:c>
      <x:c r="M48" s="14" t="n">
        <x:f>IF(I48=0,0,(K48+L48)/I48)</x:f>
        <x:v>0.5555555555555556</x:v>
      </x:c>
      <x:c r="N48" s="12" t="n">
        <x:v>0.3</x:v>
      </x:c>
      <x:c r="O48" s="10" t="n">
        <x:v>2.88</x:v>
      </x:c>
      <x:c r="P48" s="10" t="n">
        <x:v>0.67</x:v>
      </x:c>
      <x:c r="Q48" s="12" t="n">
        <x:v>0.11</x:v>
      </x:c>
      <x:c r="R48" s="12" t="n">
        <x:v>2.1</x:v>
      </x:c>
      <x:c r="S48" s="12" t="n">
        <x:f>IF(OR(E48&lt;&gt;"Active",Q48=0),"-",R48/Q48)</x:f>
        <x:v>19.09090909090909</x:v>
      </x:c>
      <x:c r="T48" s="16" t="n">
        <x:v>11</x:v>
      </x:c>
    </x:row>
    <x:row r="49" ht="24" customHeight="1">
      <x:c r="A49" s="7" t="str">
        <x:v>Vellichor Systems</x:v>
      </x:c>
      <x:c r="B49" s="7" t="str">
        <x:v>Developer Tools</x:v>
      </x:c>
      <x:c r="C49" s="7" t="str">
        <x:v>Fund III</x:v>
      </x:c>
      <x:c r="D49" s="7" t="str">
        <x:v>Series A</x:v>
      </x:c>
      <x:c r="E49" s="7" t="str">
        <x:v>Active</x:v>
      </x:c>
      <x:c r="F49" s="9" t="n">
        <x:v>45232</x:v>
      </x:c>
      <x:c r="G49" s="9" t="n">
        <x:v>46091</x:v>
      </x:c>
      <x:c r="H49" s="13" t="n">
        <x:v>84.9</x:v>
      </x:c>
      <x:c r="I49" s="13" t="n">
        <x:v>6</x:v>
      </x:c>
      <x:c r="J49" s="11" t="n">
        <x:v>0.139</x:v>
      </x:c>
      <x:c r="K49" s="13" t="n">
        <x:v>11.8</x:v>
      </x:c>
      <x:c r="L49" s="13" t="n">
        <x:v>0</x:v>
      </x:c>
      <x:c r="M49" s="15" t="n">
        <x:f>IF(I49=0,0,(K49+L49)/I49)</x:f>
        <x:v>1.9666666666666668</x:v>
      </x:c>
      <x:c r="N49" s="13" t="n">
        <x:v>5.7</x:v>
      </x:c>
      <x:c r="O49" s="11" t="n">
        <x:v>-0.11</x:v>
      </x:c>
      <x:c r="P49" s="11" t="n">
        <x:v>0.78</x:v>
      </x:c>
      <x:c r="Q49" s="13" t="n">
        <x:v>0.87</x:v>
      </x:c>
      <x:c r="R49" s="13" t="n">
        <x:v>22.1</x:v>
      </x:c>
      <x:c r="S49" s="13" t="n">
        <x:f>IF(OR(E49&lt;&gt;"Active",Q49=0),"-",R49/Q49)</x:f>
        <x:v>25.402298850574713</x:v>
      </x:c>
      <x:c r="T49" s="17" t="n">
        <x:v>61</x:v>
      </x:c>
    </x:row>
    <x:row r="50" ht="24" customHeight="1">
      <x:c r="A50" s="3" t="str">
        <x:v>Westwilder</x:v>
      </x:c>
      <x:c r="B50" s="3" t="str">
        <x:v>Enterprise SaaS</x:v>
      </x:c>
      <x:c r="C50" s="3" t="str">
        <x:v>Fund I</x:v>
      </x:c>
      <x:c r="D50" s="3" t="str">
        <x:v>Series D+</x:v>
      </x:c>
      <x:c r="E50" s="3" t="str">
        <x:v>Active</x:v>
      </x:c>
      <x:c r="F50" s="8" t="n">
        <x:v>44179</x:v>
      </x:c>
      <x:c r="G50" s="8" t="n">
        <x:v>44991</x:v>
      </x:c>
      <x:c r="H50" s="12" t="n">
        <x:v>2055.3</x:v>
      </x:c>
      <x:c r="I50" s="12" t="n">
        <x:v>20</x:v>
      </x:c>
      <x:c r="J50" s="10" t="n">
        <x:v>0.01</x:v>
      </x:c>
      <x:c r="K50" s="12" t="n">
        <x:v>20.6</x:v>
      </x:c>
      <x:c r="L50" s="12" t="n">
        <x:v>0</x:v>
      </x:c>
      <x:c r="M50" s="14" t="n">
        <x:f>IF(I50=0,0,(K50+L50)/I50)</x:f>
        <x:v>1.03</x:v>
      </x:c>
      <x:c r="N50" s="12" t="n">
        <x:v>201.8</x:v>
      </x:c>
      <x:c r="O50" s="10" t="n">
        <x:v>0.32</x:v>
      </x:c>
      <x:c r="P50" s="10" t="n">
        <x:v>0.82</x:v>
      </x:c>
      <x:c r="Q50" s="12" t="n">
        <x:v>3.4</x:v>
      </x:c>
      <x:c r="R50" s="12" t="n">
        <x:v>66</x:v>
      </x:c>
      <x:c r="S50" s="12" t="n">
        <x:f>IF(OR(E50&lt;&gt;"Active",Q50=0),"-",R50/Q50)</x:f>
        <x:v>19.411764705882355</x:v>
      </x:c>
      <x:c r="T50" s="16" t="n">
        <x:v>1186</x:v>
      </x:c>
    </x:row>
    <x:row r="51" ht="24" customHeight="1">
      <x:c r="A51" s="7" t="str">
        <x:v>Yarrowbank</x:v>
      </x:c>
      <x:c r="B51" s="7" t="str">
        <x:v>Consumer</x:v>
      </x:c>
      <x:c r="C51" s="7" t="str">
        <x:v>Fund II</x:v>
      </x:c>
      <x:c r="D51" s="7" t="str">
        <x:v>Series A</x:v>
      </x:c>
      <x:c r="E51" s="7" t="str">
        <x:v>Active</x:v>
      </x:c>
      <x:c r="F51" s="9" t="n">
        <x:v>44441</x:v>
      </x:c>
      <x:c r="G51" s="9" t="n">
        <x:v>45294</x:v>
      </x:c>
      <x:c r="H51" s="13" t="n">
        <x:v>7.7</x:v>
      </x:c>
      <x:c r="I51" s="13" t="n">
        <x:v>2</x:v>
      </x:c>
      <x:c r="J51" s="11" t="n">
        <x:v>0.084</x:v>
      </x:c>
      <x:c r="K51" s="13" t="n">
        <x:v>0.6</x:v>
      </x:c>
      <x:c r="L51" s="13" t="n">
        <x:v>0</x:v>
      </x:c>
      <x:c r="M51" s="15" t="n">
        <x:f>IF(I51=0,0,(K51+L51)/I51)</x:f>
        <x:v>0.3</x:v>
      </x:c>
      <x:c r="N51" s="13" t="n">
        <x:v>7.5</x:v>
      </x:c>
      <x:c r="O51" s="11" t="n">
        <x:v>0.85</x:v>
      </x:c>
      <x:c r="P51" s="11" t="n">
        <x:v>0.57</x:v>
      </x:c>
      <x:c r="Q51" s="13" t="n">
        <x:v>0.69</x:v>
      </x:c>
      <x:c r="R51" s="13" t="n">
        <x:v>21.3</x:v>
      </x:c>
      <x:c r="S51" s="13" t="n">
        <x:f>IF(OR(E51&lt;&gt;"Active",Q51=0),"-",R51/Q51)</x:f>
        <x:v>30.869565217391308</x:v>
      </x:c>
      <x:c r="T51" s="17" t="n">
        <x:v>26</x:v>
      </x:c>
    </x:row>
    <x:row r="52" ht="24" customHeight="1">
      <x:c r="A52" s="3" t="str">
        <x:v>Zinniafold</x:v>
      </x:c>
      <x:c r="B52" s="3" t="str">
        <x:v>Healthcare</x:v>
      </x:c>
      <x:c r="C52" s="3" t="str">
        <x:v>Fund II</x:v>
      </x:c>
      <x:c r="D52" s="3" t="str">
        <x:v>Series A</x:v>
      </x:c>
      <x:c r="E52" s="3" t="str">
        <x:v>Active</x:v>
      </x:c>
      <x:c r="F52" s="8" t="n">
        <x:v>44530</x:v>
      </x:c>
      <x:c r="G52" s="8" t="n">
        <x:v>45324</x:v>
      </x:c>
      <x:c r="H52" s="12" t="n">
        <x:v>30.2</x:v>
      </x:c>
      <x:c r="I52" s="12" t="n">
        <x:v>5.2</x:v>
      </x:c>
      <x:c r="J52" s="10" t="n">
        <x:v>0.123</x:v>
      </x:c>
      <x:c r="K52" s="12" t="n">
        <x:v>3.7</x:v>
      </x:c>
      <x:c r="L52" s="12" t="n">
        <x:v>0</x:v>
      </x:c>
      <x:c r="M52" s="14" t="n">
        <x:f>IF(I52=0,0,(K52+L52)/I52)</x:f>
        <x:v>0.7115384615384616</x:v>
      </x:c>
      <x:c r="N52" s="12" t="n">
        <x:v>2</x:v>
      </x:c>
      <x:c r="O52" s="10" t="n">
        <x:v>1.68</x:v>
      </x:c>
      <x:c r="P52" s="10" t="n">
        <x:v>0.62</x:v>
      </x:c>
      <x:c r="Q52" s="12" t="n">
        <x:v>0.39</x:v>
      </x:c>
      <x:c r="R52" s="12" t="n">
        <x:v>6.9</x:v>
      </x:c>
      <x:c r="S52" s="12" t="n">
        <x:f>IF(OR(E52&lt;&gt;"Active",Q52=0),"-",R52/Q52)</x:f>
        <x:v>17.692307692307693</x:v>
      </x:c>
      <x:c r="T52" s="16" t="n">
        <x:v>57</x:v>
      </x:c>
    </x:row>
    <x:row r="53" ht="24" customHeight="1">
      <x:c r="A53" s="7" t="str">
        <x:v>Ambercrest</x:v>
      </x:c>
      <x:c r="B53" s="7" t="str">
        <x:v>Data &amp; Analytics</x:v>
      </x:c>
      <x:c r="C53" s="7" t="str">
        <x:v>Fund II</x:v>
      </x:c>
      <x:c r="D53" s="7" t="str">
        <x:v>Series B</x:v>
      </x:c>
      <x:c r="E53" s="7" t="str">
        <x:v>Active</x:v>
      </x:c>
      <x:c r="F53" s="9" t="n">
        <x:v>45150</x:v>
      </x:c>
      <x:c r="G53" s="9" t="n">
        <x:v>45995</x:v>
      </x:c>
      <x:c r="H53" s="13" t="n">
        <x:v>251.6</x:v>
      </x:c>
      <x:c r="I53" s="13" t="n">
        <x:v>5.6</x:v>
      </x:c>
      <x:c r="J53" s="11" t="n">
        <x:v>0.042</x:v>
      </x:c>
      <x:c r="K53" s="13" t="n">
        <x:v>10.6</x:v>
      </x:c>
      <x:c r="L53" s="13" t="n">
        <x:v>0</x:v>
      </x:c>
      <x:c r="M53" s="15" t="n">
        <x:f>IF(I53=0,0,(K53+L53)/I53)</x:f>
        <x:v>1.892857142857143</x:v>
      </x:c>
      <x:c r="N53" s="13" t="n">
        <x:v>10.8</x:v>
      </x:c>
      <x:c r="O53" s="11" t="n">
        <x:v>0.79</x:v>
      </x:c>
      <x:c r="P53" s="11" t="n">
        <x:v>0.63</x:v>
      </x:c>
      <x:c r="Q53" s="13" t="n">
        <x:v>1.33</x:v>
      </x:c>
      <x:c r="R53" s="13" t="n">
        <x:v>40.6</x:v>
      </x:c>
      <x:c r="S53" s="13" t="n">
        <x:f>IF(OR(E53&lt;&gt;"Active",Q53=0),"-",R53/Q53)</x:f>
        <x:v>30.526315789473685</x:v>
      </x:c>
      <x:c r="T53" s="17" t="n">
        <x:v>102</x:v>
      </x:c>
    </x:row>
    <x:row r="54" ht="24" customHeight="1">
      <x:c r="A54" s="3" t="str">
        <x:v>Birchhollow</x:v>
      </x:c>
      <x:c r="B54" s="3" t="str">
        <x:v>Cybersecurity</x:v>
      </x:c>
      <x:c r="C54" s="3" t="str">
        <x:v>Fund I</x:v>
      </x:c>
      <x:c r="D54" s="3" t="str">
        <x:v>Series D+</x:v>
      </x:c>
      <x:c r="E54" s="3" t="str">
        <x:v>Active</x:v>
      </x:c>
      <x:c r="F54" s="8" t="n">
        <x:v>43954</x:v>
      </x:c>
      <x:c r="G54" s="8" t="n">
        <x:v>44327</x:v>
      </x:c>
      <x:c r="H54" s="12" t="n">
        <x:v>1494.5</x:v>
      </x:c>
      <x:c r="I54" s="12" t="n">
        <x:v>15.6</x:v>
      </x:c>
      <x:c r="J54" s="10" t="n">
        <x:v>0.029</x:v>
      </x:c>
      <x:c r="K54" s="12" t="n">
        <x:v>43.3</x:v>
      </x:c>
      <x:c r="L54" s="12" t="n">
        <x:v>0</x:v>
      </x:c>
      <x:c r="M54" s="14" t="n">
        <x:f>IF(I54=0,0,(K54+L54)/I54)</x:f>
        <x:v>2.7756410256410255</x:v>
      </x:c>
      <x:c r="N54" s="12" t="n">
        <x:v>129.4</x:v>
      </x:c>
      <x:c r="O54" s="10" t="n">
        <x:v>-0.2</x:v>
      </x:c>
      <x:c r="P54" s="10" t="n">
        <x:v>0.73</x:v>
      </x:c>
      <x:c r="Q54" s="12" t="n">
        <x:v>3.88</x:v>
      </x:c>
      <x:c r="R54" s="12" t="n">
        <x:v>71.6</x:v>
      </x:c>
      <x:c r="S54" s="12" t="n">
        <x:f>IF(OR(E54&lt;&gt;"Active",Q54=0),"-",R54/Q54)</x:f>
        <x:v>18.45360824742268</x:v>
      </x:c>
      <x:c r="T54" s="16" t="n">
        <x:v>1432</x:v>
      </x:c>
    </x:row>
    <x:row r="55" ht="24" customHeight="1">
      <x:c r="A55" s="7" t="str">
        <x:v>Covebright</x:v>
      </x:c>
      <x:c r="B55" s="7" t="str">
        <x:v>Fintech</x:v>
      </x:c>
      <x:c r="C55" s="7" t="str">
        <x:v>Fund I</x:v>
      </x:c>
      <x:c r="D55" s="7" t="str">
        <x:v>Series B</x:v>
      </x:c>
      <x:c r="E55" s="7" t="str">
        <x:v>Active</x:v>
      </x:c>
      <x:c r="F55" s="9" t="n">
        <x:v>44171</x:v>
      </x:c>
      <x:c r="G55" s="9" t="n">
        <x:v>46089</x:v>
      </x:c>
      <x:c r="H55" s="13" t="n">
        <x:v>260.3</x:v>
      </x:c>
      <x:c r="I55" s="13" t="n">
        <x:v>4</x:v>
      </x:c>
      <x:c r="J55" s="11" t="n">
        <x:v>0.056</x:v>
      </x:c>
      <x:c r="K55" s="13" t="n">
        <x:v>14.6</x:v>
      </x:c>
      <x:c r="L55" s="13" t="n">
        <x:v>0</x:v>
      </x:c>
      <x:c r="M55" s="15" t="n">
        <x:f>IF(I55=0,0,(K55+L55)/I55)</x:f>
        <x:v>3.65</x:v>
      </x:c>
      <x:c r="N55" s="13" t="n">
        <x:v>24.8</x:v>
      </x:c>
      <x:c r="O55" s="11" t="n">
        <x:v>0.68</x:v>
      </x:c>
      <x:c r="P55" s="11" t="n">
        <x:v>0.46</x:v>
      </x:c>
      <x:c r="Q55" s="13" t="n">
        <x:v>1.94</x:v>
      </x:c>
      <x:c r="R55" s="13" t="n">
        <x:v>53.9</x:v>
      </x:c>
      <x:c r="S55" s="13" t="n">
        <x:f>IF(OR(E55&lt;&gt;"Active",Q55=0),"-",R55/Q55)</x:f>
        <x:v>27.783505154639176</x:v>
      </x:c>
      <x:c r="T55" s="17" t="n">
        <x:v>161</x:v>
      </x:c>
    </x:row>
    <x:row r="56" ht="24" customHeight="1">
      <x:c r="A56" s="3" t="str">
        <x:v>Duskfern</x:v>
      </x:c>
      <x:c r="B56" s="3" t="str">
        <x:v>Data &amp; Analytics</x:v>
      </x:c>
      <x:c r="C56" s="3" t="str">
        <x:v>Fund II</x:v>
      </x:c>
      <x:c r="D56" s="3" t="str">
        <x:v>Series A</x:v>
      </x:c>
      <x:c r="E56" s="3" t="str">
        <x:v>Active</x:v>
      </x:c>
      <x:c r="F56" s="8" t="n">
        <x:v>44566</x:v>
      </x:c>
      <x:c r="G56" s="8" t="n">
        <x:v>45060</x:v>
      </x:c>
      <x:c r="H56" s="12" t="n">
        <x:v>73.8</x:v>
      </x:c>
      <x:c r="I56" s="12" t="n">
        <x:v>5.6</x:v>
      </x:c>
      <x:c r="J56" s="10" t="n">
        <x:v>0.082</x:v>
      </x:c>
      <x:c r="K56" s="12" t="n">
        <x:v>6.1</x:v>
      </x:c>
      <x:c r="L56" s="12" t="n">
        <x:v>0</x:v>
      </x:c>
      <x:c r="M56" s="14" t="n">
        <x:f>IF(I56=0,0,(K56+L56)/I56)</x:f>
        <x:v>1.0892857142857142</x:v>
      </x:c>
      <x:c r="N56" s="12" t="n">
        <x:v>7</x:v>
      </x:c>
      <x:c r="O56" s="10" t="n">
        <x:v>1.12</x:v>
      </x:c>
      <x:c r="P56" s="10" t="n">
        <x:v>0.68</x:v>
      </x:c>
      <x:c r="Q56" s="12" t="n">
        <x:v>0.45</x:v>
      </x:c>
      <x:c r="R56" s="12" t="n">
        <x:v>2.3</x:v>
      </x:c>
      <x:c r="S56" s="12" t="n">
        <x:f>IF(OR(E56&lt;&gt;"Active",Q56=0),"-",R56/Q56)</x:f>
        <x:v>5.111111111111111</x:v>
      </x:c>
      <x:c r="T56" s="16" t="n">
        <x:v>61</x:v>
      </x:c>
    </x:row>
    <x:row r="57" ht="24" customHeight="1">
      <x:c r="A57" s="7" t="str">
        <x:v>Elmsworth Data</x:v>
      </x:c>
      <x:c r="B57" s="7" t="str">
        <x:v>AI/ML</x:v>
      </x:c>
      <x:c r="C57" s="7" t="str">
        <x:v>Fund II</x:v>
      </x:c>
      <x:c r="D57" s="7" t="str">
        <x:v>Series B</x:v>
      </x:c>
      <x:c r="E57" s="7" t="str">
        <x:v>Active</x:v>
      </x:c>
      <x:c r="F57" s="9" t="n">
        <x:v>44558</x:v>
      </x:c>
      <x:c r="G57" s="9" t="n">
        <x:v>45633</x:v>
      </x:c>
      <x:c r="H57" s="13" t="n">
        <x:v>626.9</x:v>
      </x:c>
      <x:c r="I57" s="13" t="n">
        <x:v>5</x:v>
      </x:c>
      <x:c r="J57" s="11" t="n">
        <x:v>0.038</x:v>
      </x:c>
      <x:c r="K57" s="13" t="n">
        <x:v>23.8</x:v>
      </x:c>
      <x:c r="L57" s="13" t="n">
        <x:v>0</x:v>
      </x:c>
      <x:c r="M57" s="15" t="n">
        <x:f>IF(I57=0,0,(K57+L57)/I57)</x:f>
        <x:v>4.76</x:v>
      </x:c>
      <x:c r="N57" s="13" t="n">
        <x:v>13.1</x:v>
      </x:c>
      <x:c r="O57" s="11" t="n">
        <x:v>0.98</x:v>
      </x:c>
      <x:c r="P57" s="11" t="n">
        <x:v>0.76</x:v>
      </x:c>
      <x:c r="Q57" s="13" t="n">
        <x:v>0.91</x:v>
      </x:c>
      <x:c r="R57" s="13" t="n">
        <x:v>22.4</x:v>
      </x:c>
      <x:c r="S57" s="13" t="n">
        <x:f>IF(OR(E57&lt;&gt;"Active",Q57=0),"-",R57/Q57)</x:f>
        <x:v>24.615384615384613</x:v>
      </x:c>
      <x:c r="T57" s="17" t="n">
        <x:v>103</x:v>
      </x:c>
    </x:row>
    <x:row r="58" ht="24" customHeight="1">
      <x:c r="A58" s="3" t="str">
        <x:v>Foxtrellis</x:v>
      </x:c>
      <x:c r="B58" s="3" t="str">
        <x:v>Climate &amp; Energy</x:v>
      </x:c>
      <x:c r="C58" s="3" t="str">
        <x:v>Fund I</x:v>
      </x:c>
      <x:c r="D58" s="3" t="str">
        <x:v>Series B</x:v>
      </x:c>
      <x:c r="E58" s="3" t="str">
        <x:v>Active</x:v>
      </x:c>
      <x:c r="F58" s="8" t="n">
        <x:v>43995</x:v>
      </x:c>
      <x:c r="G58" s="8" t="n">
        <x:v>45213</x:v>
      </x:c>
      <x:c r="H58" s="12" t="n">
        <x:v>631.7</x:v>
      </x:c>
      <x:c r="I58" s="12" t="n">
        <x:v>4</x:v>
      </x:c>
      <x:c r="J58" s="10" t="n">
        <x:v>0.042</x:v>
      </x:c>
      <x:c r="K58" s="12" t="n">
        <x:v>26.5</x:v>
      </x:c>
      <x:c r="L58" s="12" t="n">
        <x:v>0</x:v>
      </x:c>
      <x:c r="M58" s="14" t="n">
        <x:f>IF(I58=0,0,(K58+L58)/I58)</x:f>
        <x:v>6.625</x:v>
      </x:c>
      <x:c r="N58" s="12" t="n">
        <x:v>19.4</x:v>
      </x:c>
      <x:c r="O58" s="10" t="n">
        <x:v>1.03</x:v>
      </x:c>
      <x:c r="P58" s="10" t="n">
        <x:v>0.22</x:v>
      </x:c>
      <x:c r="Q58" s="12" t="n">
        <x:v>1.39</x:v>
      </x:c>
      <x:c r="R58" s="12" t="n">
        <x:v>43.2</x:v>
      </x:c>
      <x:c r="S58" s="12" t="n">
        <x:f>IF(OR(E58&lt;&gt;"Active",Q58=0),"-",R58/Q58)</x:f>
        <x:v>31.079136690647488</x:v>
      </x:c>
      <x:c r="T58" s="16" t="n">
        <x:v>212</x:v>
      </x:c>
    </x:row>
    <x:row r="59" ht="24" customHeight="1">
      <x:c r="A59" s="7" t="str">
        <x:v>Gorseline</x:v>
      </x:c>
      <x:c r="B59" s="7" t="str">
        <x:v>AI/ML</x:v>
      </x:c>
      <x:c r="C59" s="7" t="str">
        <x:v>Fund III</x:v>
      </x:c>
      <x:c r="D59" s="7" t="str">
        <x:v>Series A</x:v>
      </x:c>
      <x:c r="E59" s="7" t="str">
        <x:v>Active</x:v>
      </x:c>
      <x:c r="F59" s="9" t="n">
        <x:v>46070</x:v>
      </x:c>
      <x:c r="G59" s="9" t="n">
        <x:v>46070</x:v>
      </x:c>
      <x:c r="H59" s="13" t="n">
        <x:v>30.3</x:v>
      </x:c>
      <x:c r="I59" s="13" t="n">
        <x:v>2.1</x:v>
      </x:c>
      <x:c r="J59" s="11" t="n">
        <x:v>0.102</x:v>
      </x:c>
      <x:c r="K59" s="13" t="n">
        <x:v>3.1</x:v>
      </x:c>
      <x:c r="L59" s="13" t="n">
        <x:v>0</x:v>
      </x:c>
      <x:c r="M59" s="15" t="n">
        <x:f>IF(I59=0,0,(K59+L59)/I59)</x:f>
        <x:v>1.4761904761904763</x:v>
      </x:c>
      <x:c r="N59" s="13" t="n">
        <x:v>6.3</x:v>
      </x:c>
      <x:c r="O59" s="11" t="n">
        <x:v>0.52</x:v>
      </x:c>
      <x:c r="P59" s="11" t="n">
        <x:v>0.61</x:v>
      </x:c>
      <x:c r="Q59" s="13" t="n">
        <x:v>0.78</x:v>
      </x:c>
      <x:c r="R59" s="13" t="n">
        <x:v>17.4</x:v>
      </x:c>
      <x:c r="S59" s="13" t="n">
        <x:f>IF(OR(E59&lt;&gt;"Active",Q59=0),"-",R59/Q59)</x:f>
        <x:v>22.307692307692307</x:v>
      </x:c>
      <x:c r="T59" s="17" t="n">
        <x:v>68</x:v>
      </x:c>
    </x:row>
    <x:row r="60" ht="24" customHeight="1">
      <x:c r="A60" s="3" t="str">
        <x:v>Hearthwick</x:v>
      </x:c>
      <x:c r="B60" s="3" t="str">
        <x:v>Fintech</x:v>
      </x:c>
      <x:c r="C60" s="3" t="str">
        <x:v>Fund III</x:v>
      </x:c>
      <x:c r="D60" s="3" t="str">
        <x:v>Seed</x:v>
      </x:c>
      <x:c r="E60" s="34" t="str">
        <x:v>Active</x:v>
      </x:c>
      <x:c r="F60" s="8" t="n">
        <x:v>45654</x:v>
      </x:c>
      <x:c r="G60" s="35" t="n">
        <x:v>45830</x:v>
      </x:c>
      <x:c r="H60" s="33" t="n">
        <x:v>8</x:v>
      </x:c>
      <x:c r="I60" s="33" t="n">
        <x:v>0.6</x:v>
      </x:c>
      <x:c r="J60" s="10" t="n">
        <x:v>0.084</x:v>
      </x:c>
      <x:c r="K60" s="33" t="n">
        <x:v>0.7</x:v>
      </x:c>
      <x:c r="L60" s="33" t="n">
        <x:v>0</x:v>
      </x:c>
      <x:c r="M60" s="14" t="n">
        <x:f>IF(I60=0,0,(K60+L60)/I60)</x:f>
        <x:v>1.1666666666666667</x:v>
      </x:c>
      <x:c r="N60" s="33" t="n">
        <x:v>0.35</x:v>
      </x:c>
      <x:c r="O60" s="36" t="n">
        <x:v>0.25</x:v>
      </x:c>
      <x:c r="P60" s="36" t="n">
        <x:v>0.6</x:v>
      </x:c>
      <x:c r="Q60" s="33" t="n">
        <x:v>0.1</x:v>
      </x:c>
      <x:c r="R60" s="33" t="n">
        <x:v>0.8</x:v>
      </x:c>
      <x:c r="S60" s="12" t="n">
        <x:f>IF(OR(E60&lt;&gt;"Active",Q60=0),"-",R60/Q60)</x:f>
        <x:v>8</x:v>
      </x:c>
      <x:c r="T60" s="37" t="n">
        <x:v>8</x:v>
      </x:c>
    </x:row>
    <x:row r="61" ht="24" customHeight="1">
      <x:c r="A61" s="7" t="str">
        <x:v>Inkmoor</x:v>
      </x:c>
      <x:c r="B61" s="7" t="str">
        <x:v>Developer Tools</x:v>
      </x:c>
      <x:c r="C61" s="7" t="str">
        <x:v>Fund II</x:v>
      </x:c>
      <x:c r="D61" s="7" t="str">
        <x:v>Series A</x:v>
      </x:c>
      <x:c r="E61" s="7" t="str">
        <x:v>Active</x:v>
      </x:c>
      <x:c r="F61" s="9" t="n">
        <x:v>45020</x:v>
      </x:c>
      <x:c r="G61" s="9" t="n">
        <x:v>45538</x:v>
      </x:c>
      <x:c r="H61" s="13" t="n">
        <x:v>24.7</x:v>
      </x:c>
      <x:c r="I61" s="13" t="n">
        <x:v>6</x:v>
      </x:c>
      <x:c r="J61" s="11" t="n">
        <x:v>0.12</x:v>
      </x:c>
      <x:c r="K61" s="13" t="n">
        <x:v>3</x:v>
      </x:c>
      <x:c r="L61" s="13" t="n">
        <x:v>0</x:v>
      </x:c>
      <x:c r="M61" s="15" t="n">
        <x:f>IF(I61=0,0,(K61+L61)/I61)</x:f>
        <x:v>0.5</x:v>
      </x:c>
      <x:c r="N61" s="13" t="n">
        <x:v>6.6</x:v>
      </x:c>
      <x:c r="O61" s="11" t="n">
        <x:v>1.28</x:v>
      </x:c>
      <x:c r="P61" s="11" t="n">
        <x:v>0.71</x:v>
      </x:c>
      <x:c r="Q61" s="13" t="n">
        <x:v>0.63</x:v>
      </x:c>
      <x:c r="R61" s="13" t="n">
        <x:v>14.3</x:v>
      </x:c>
      <x:c r="S61" s="13" t="n">
        <x:f>IF(OR(E61&lt;&gt;"Active",Q61=0),"-",R61/Q61)</x:f>
        <x:v>22.6984126984127</x:v>
      </x:c>
      <x:c r="T61" s="17" t="n">
        <x:v>29</x:v>
      </x:c>
    </x:row>
    <x:row r="62" ht="24" customHeight="1">
      <x:c r="A62" s="3" t="str">
        <x:v>Jadewell Payments</x:v>
      </x:c>
      <x:c r="B62" s="3" t="str">
        <x:v>Robotics</x:v>
      </x:c>
      <x:c r="C62" s="3" t="str">
        <x:v>Fund III</x:v>
      </x:c>
      <x:c r="D62" s="3" t="str">
        <x:v>Series A</x:v>
      </x:c>
      <x:c r="E62" s="3" t="str">
        <x:v>Active</x:v>
      </x:c>
      <x:c r="F62" s="8" t="n">
        <x:v>45366</x:v>
      </x:c>
      <x:c r="G62" s="8" t="n">
        <x:v>45906</x:v>
      </x:c>
      <x:c r="H62" s="12" t="n">
        <x:v>79</x:v>
      </x:c>
      <x:c r="I62" s="12" t="n">
        <x:v>4.6</x:v>
      </x:c>
      <x:c r="J62" s="10" t="n">
        <x:v>0.071</x:v>
      </x:c>
      <x:c r="K62" s="12" t="n">
        <x:v>5.6</x:v>
      </x:c>
      <x:c r="L62" s="12" t="n">
        <x:v>0</x:v>
      </x:c>
      <x:c r="M62" s="14" t="n">
        <x:f>IF(I62=0,0,(K62+L62)/I62)</x:f>
        <x:v>1.2173913043478262</x:v>
      </x:c>
      <x:c r="N62" s="12" t="n">
        <x:v>6.1</x:v>
      </x:c>
      <x:c r="O62" s="10" t="n">
        <x:v>1.04</x:v>
      </x:c>
      <x:c r="P62" s="10" t="n">
        <x:v>0.29</x:v>
      </x:c>
      <x:c r="Q62" s="12" t="n">
        <x:v>0.49</x:v>
      </x:c>
      <x:c r="R62" s="12" t="n">
        <x:v>11.8</x:v>
      </x:c>
      <x:c r="S62" s="12" t="n">
        <x:f>IF(OR(E62&lt;&gt;"Active",Q62=0),"-",R62/Q62)</x:f>
        <x:v>24.081632653061227</x:v>
      </x:c>
      <x:c r="T62" s="16" t="n">
        <x:v>50</x:v>
      </x:c>
    </x:row>
    <x:row r="63" ht="24" customHeight="1">
      <x:c r="A63" s="7" t="str">
        <x:v>Kilnbrook</x:v>
      </x:c>
      <x:c r="B63" s="7" t="str">
        <x:v>Fintech</x:v>
      </x:c>
      <x:c r="C63" s="7" t="str">
        <x:v>Fund II</x:v>
      </x:c>
      <x:c r="D63" s="7" t="str">
        <x:v>Series A</x:v>
      </x:c>
      <x:c r="E63" s="7" t="str">
        <x:v>Active</x:v>
      </x:c>
      <x:c r="F63" s="9" t="n">
        <x:v>44713</x:v>
      </x:c>
      <x:c r="G63" s="9" t="n">
        <x:v>45799</x:v>
      </x:c>
      <x:c r="H63" s="13" t="n">
        <x:v>63.6</x:v>
      </x:c>
      <x:c r="I63" s="13" t="n">
        <x:v>2</x:v>
      </x:c>
      <x:c r="J63" s="11" t="n">
        <x:v>0.069</x:v>
      </x:c>
      <x:c r="K63" s="13" t="n">
        <x:v>4.4</x:v>
      </x:c>
      <x:c r="L63" s="13" t="n">
        <x:v>0</x:v>
      </x:c>
      <x:c r="M63" s="15" t="n">
        <x:f>IF(I63=0,0,(K63+L63)/I63)</x:f>
        <x:v>2.2</x:v>
      </x:c>
      <x:c r="N63" s="13" t="n">
        <x:v>7.5</x:v>
      </x:c>
      <x:c r="O63" s="11" t="n">
        <x:v>0.56</x:v>
      </x:c>
      <x:c r="P63" s="11" t="n">
        <x:v>0.51</x:v>
      </x:c>
      <x:c r="Q63" s="13" t="n">
        <x:v>0.36</x:v>
      </x:c>
      <x:c r="R63" s="13" t="n">
        <x:v>11.1</x:v>
      </x:c>
      <x:c r="S63" s="13" t="n">
        <x:f>IF(OR(E63&lt;&gt;"Active",Q63=0),"-",R63/Q63)</x:f>
        <x:v>30.833333333333332</x:v>
      </x:c>
      <x:c r="T63" s="17" t="n">
        <x:v>29</x:v>
      </x:c>
    </x:row>
    <x:row r="64" ht="24" customHeight="1">
      <x:c r="A64" s="3" t="str">
        <x:v>Mirthstone</x:v>
      </x:c>
      <x:c r="B64" s="3" t="str">
        <x:v>Climate &amp; Energy</x:v>
      </x:c>
      <x:c r="C64" s="3" t="str">
        <x:v>Fund I</x:v>
      </x:c>
      <x:c r="D64" s="3" t="str">
        <x:v>Series B</x:v>
      </x:c>
      <x:c r="E64" s="3" t="str">
        <x:v>Active</x:v>
      </x:c>
      <x:c r="F64" s="8" t="n">
        <x:v>44160</x:v>
      </x:c>
      <x:c r="G64" s="8" t="n">
        <x:v>45240</x:v>
      </x:c>
      <x:c r="H64" s="12" t="n">
        <x:v>122.5</x:v>
      </x:c>
      <x:c r="I64" s="12" t="n">
        <x:v>4</x:v>
      </x:c>
      <x:c r="J64" s="10" t="n">
        <x:v>0.054</x:v>
      </x:c>
      <x:c r="K64" s="12" t="n">
        <x:v>6.6</x:v>
      </x:c>
      <x:c r="L64" s="12" t="n">
        <x:v>0</x:v>
      </x:c>
      <x:c r="M64" s="14" t="n">
        <x:f>IF(I64=0,0,(K64+L64)/I64)</x:f>
        <x:v>1.65</x:v>
      </x:c>
      <x:c r="N64" s="12" t="n">
        <x:v>26</x:v>
      </x:c>
      <x:c r="O64" s="10" t="n">
        <x:v>-0.05</x:v>
      </x:c>
      <x:c r="P64" s="10" t="n">
        <x:v>0.44</x:v>
      </x:c>
      <x:c r="Q64" s="12" t="n">
        <x:v>0.97</x:v>
      </x:c>
      <x:c r="R64" s="12" t="n">
        <x:v>28.2</x:v>
      </x:c>
      <x:c r="S64" s="12" t="n">
        <x:f>IF(OR(E64&lt;&gt;"Active",Q64=0),"-",R64/Q64)</x:f>
        <x:v>29.072164948453608</x:v>
      </x:c>
      <x:c r="T64" s="16" t="n">
        <x:v>130</x:v>
      </x:c>
    </x:row>
    <x:row r="65" ht="24" customHeight="1">
      <x:c r="A65" s="7" t="str">
        <x:v>Nettlebay</x:v>
      </x:c>
      <x:c r="B65" s="7" t="str">
        <x:v>Robotics</x:v>
      </x:c>
      <x:c r="C65" s="7" t="str">
        <x:v>Fund II</x:v>
      </x:c>
      <x:c r="D65" s="7" t="str">
        <x:v>Series C</x:v>
      </x:c>
      <x:c r="E65" s="7" t="str">
        <x:v>Active</x:v>
      </x:c>
      <x:c r="F65" s="9" t="n">
        <x:v>44583</x:v>
      </x:c>
      <x:c r="G65" s="9" t="n">
        <x:v>44801</x:v>
      </x:c>
      <x:c r="H65" s="13" t="n">
        <x:v>820.2</x:v>
      </x:c>
      <x:c r="I65" s="13" t="n">
        <x:v>15</x:v>
      </x:c>
      <x:c r="J65" s="11" t="n">
        <x:v>0.026</x:v>
      </x:c>
      <x:c r="K65" s="13" t="n">
        <x:v>21.3</x:v>
      </x:c>
      <x:c r="L65" s="13" t="n">
        <x:v>0</x:v>
      </x:c>
      <x:c r="M65" s="15" t="n">
        <x:f>IF(I65=0,0,(K65+L65)/I65)</x:f>
        <x:v>1.4200000000000002</x:v>
      </x:c>
      <x:c r="N65" s="13" t="n">
        <x:v>65.7</x:v>
      </x:c>
      <x:c r="O65" s="11" t="n">
        <x:v>0.53</x:v>
      </x:c>
      <x:c r="P65" s="11" t="n">
        <x:v>0.26</x:v>
      </x:c>
      <x:c r="Q65" s="13" t="n">
        <x:v>1.13</x:v>
      </x:c>
      <x:c r="R65" s="13" t="n">
        <x:v>20.7</x:v>
      </x:c>
      <x:c r="S65" s="13" t="n">
        <x:f>IF(OR(E65&lt;&gt;"Active",Q65=0),"-",R65/Q65)</x:f>
        <x:v>18.31858407079646</x:v>
      </x:c>
      <x:c r="T65" s="17" t="n">
        <x:v>587</x:v>
      </x:c>
    </x:row>
    <x:row r="66" ht="24" customHeight="1">
      <x:c r="A66" s="3" t="str">
        <x:v>Orchardline</x:v>
      </x:c>
      <x:c r="B66" s="3" t="str">
        <x:v>Data &amp; Analytics</x:v>
      </x:c>
      <x:c r="C66" s="3" t="str">
        <x:v>Fund I</x:v>
      </x:c>
      <x:c r="D66" s="3" t="str">
        <x:v>Series B</x:v>
      </x:c>
      <x:c r="E66" s="3" t="str">
        <x:v>Active</x:v>
      </x:c>
      <x:c r="F66" s="8" t="n">
        <x:v>43569</x:v>
      </x:c>
      <x:c r="G66" s="8" t="n">
        <x:v>45857</x:v>
      </x:c>
      <x:c r="H66" s="12" t="n">
        <x:v>119.9</x:v>
      </x:c>
      <x:c r="I66" s="12" t="n">
        <x:v>4</x:v>
      </x:c>
      <x:c r="J66" s="10" t="n">
        <x:v>0.061</x:v>
      </x:c>
      <x:c r="K66" s="12" t="n">
        <x:v>7.3</x:v>
      </x:c>
      <x:c r="L66" s="12" t="n">
        <x:v>0</x:v>
      </x:c>
      <x:c r="M66" s="14" t="n">
        <x:f>IF(I66=0,0,(K66+L66)/I66)</x:f>
        <x:v>1.825</x:v>
      </x:c>
      <x:c r="N66" s="12" t="n">
        <x:v>22.1</x:v>
      </x:c>
      <x:c r="O66" s="10" t="n">
        <x:v>0.59</x:v>
      </x:c>
      <x:c r="P66" s="10" t="n">
        <x:v>0.63</x:v>
      </x:c>
      <x:c r="Q66" s="12" t="n">
        <x:v>1</x:v>
      </x:c>
      <x:c r="R66" s="12" t="n">
        <x:v>3.5</x:v>
      </x:c>
      <x:c r="S66" s="12" t="n">
        <x:f>IF(OR(E66&lt;&gt;"Active",Q66=0),"-",R66/Q66)</x:f>
        <x:v>3.5</x:v>
      </x:c>
      <x:c r="T66" s="16" t="n">
        <x:v>94</x:v>
      </x:c>
    </x:row>
    <x:row r="67" ht="24" customHeight="1">
      <x:c r="A67" s="7" t="str">
        <x:v>Palefire Labs</x:v>
      </x:c>
      <x:c r="B67" s="7" t="str">
        <x:v>Consumer</x:v>
      </x:c>
      <x:c r="C67" s="7" t="str">
        <x:v>Fund III</x:v>
      </x:c>
      <x:c r="D67" s="38" t="str">
        <x:v>Seed</x:v>
      </x:c>
      <x:c r="E67" s="7" t="str">
        <x:v>Active</x:v>
      </x:c>
      <x:c r="F67" s="9" t="n">
        <x:v>45975</x:v>
      </x:c>
      <x:c r="G67" s="39" t="n">
        <x:v>45975</x:v>
      </x:c>
      <x:c r="H67" s="40" t="n">
        <x:v>45</x:v>
      </x:c>
      <x:c r="I67" s="40" t="n">
        <x:v>4.8</x:v>
      </x:c>
      <x:c r="J67" s="11" t="n">
        <x:v>0.12</x:v>
      </x:c>
      <x:c r="K67" s="40" t="n">
        <x:v>5.4</x:v>
      </x:c>
      <x:c r="L67" s="13" t="n">
        <x:v>0</x:v>
      </x:c>
      <x:c r="M67" s="15" t="n">
        <x:f>IF(I67=0,0,(K67+L67)/I67)</x:f>
        <x:v>1.1250000000000002</x:v>
      </x:c>
      <x:c r="N67" s="13" t="n">
        <x:v>7.2</x:v>
      </x:c>
      <x:c r="O67" s="11" t="n">
        <x:v>1.87</x:v>
      </x:c>
      <x:c r="P67" s="11" t="n">
        <x:v>0.43</x:v>
      </x:c>
      <x:c r="Q67" s="13" t="n">
        <x:v>0.73</x:v>
      </x:c>
      <x:c r="R67" s="13" t="n">
        <x:v>12.8</x:v>
      </x:c>
      <x:c r="S67" s="13" t="n">
        <x:f>IF(OR(E67&lt;&gt;"Active",Q67=0),"-",R67/Q67)</x:f>
        <x:v>17.53424657534247</x:v>
      </x:c>
      <x:c r="T67" s="17" t="n">
        <x:v>42</x:v>
      </x:c>
    </x:row>
    <x:row r="68" ht="24" customHeight="1">
      <x:c r="A68" s="3" t="str">
        <x:v>Quillshade</x:v>
      </x:c>
      <x:c r="B68" s="3" t="str">
        <x:v>Climate &amp; Energy</x:v>
      </x:c>
      <x:c r="C68" s="3" t="str">
        <x:v>Fund III</x:v>
      </x:c>
      <x:c r="D68" s="34" t="str">
        <x:v>Seed</x:v>
      </x:c>
      <x:c r="E68" s="3" t="str">
        <x:v>Active</x:v>
      </x:c>
      <x:c r="F68" s="8" t="n">
        <x:v>45340</x:v>
      </x:c>
      <x:c r="G68" s="35" t="n">
        <x:v>45340</x:v>
      </x:c>
      <x:c r="H68" s="33" t="n">
        <x:v>45</x:v>
      </x:c>
      <x:c r="I68" s="33" t="n">
        <x:v>4.5</x:v>
      </x:c>
      <x:c r="J68" s="36" t="n">
        <x:v>0.13232620320855615</x:v>
      </x:c>
      <x:c r="K68" s="33" t="n">
        <x:v>6</x:v>
      </x:c>
      <x:c r="L68" s="12" t="n">
        <x:v>0</x:v>
      </x:c>
      <x:c r="M68" s="14" t="n">
        <x:f>IF(I68=0,0,(K68+L68)/I68)</x:f>
        <x:v>1.3333333333333333</x:v>
      </x:c>
      <x:c r="N68" s="12" t="n">
        <x:v>6</x:v>
      </x:c>
      <x:c r="O68" s="10" t="n">
        <x:v>1.16</x:v>
      </x:c>
      <x:c r="P68" s="10" t="n">
        <x:v>0.24</x:v>
      </x:c>
      <x:c r="Q68" s="12" t="n">
        <x:v>0.88</x:v>
      </x:c>
      <x:c r="R68" s="12" t="n">
        <x:v>24.1</x:v>
      </x:c>
      <x:c r="S68" s="12" t="n">
        <x:f>IF(OR(E68&lt;&gt;"Active",Q68=0),"-",R68/Q68)</x:f>
        <x:v>27.386363636363637</x:v>
      </x:c>
      <x:c r="T68" s="16" t="n">
        <x:v>41</x:v>
      </x:c>
    </x:row>
    <x:row r="69" ht="24" customHeight="1">
      <x:c r="A69" s="7" t="str">
        <x:v>Rushlight AI</x:v>
      </x:c>
      <x:c r="B69" s="7" t="str">
        <x:v>Developer Tools</x:v>
      </x:c>
      <x:c r="C69" s="7" t="str">
        <x:v>Fund II</x:v>
      </x:c>
      <x:c r="D69" s="7" t="str">
        <x:v>Series B</x:v>
      </x:c>
      <x:c r="E69" s="7" t="str">
        <x:v>Active</x:v>
      </x:c>
      <x:c r="F69" s="9" t="n">
        <x:v>44551</x:v>
      </x:c>
      <x:c r="G69" s="9" t="n">
        <x:v>44938</x:v>
      </x:c>
      <x:c r="H69" s="13" t="n">
        <x:v>298.3</x:v>
      </x:c>
      <x:c r="I69" s="13" t="n">
        <x:v>10</x:v>
      </x:c>
      <x:c r="J69" s="11" t="n">
        <x:v>0.041</x:v>
      </x:c>
      <x:c r="K69" s="13" t="n">
        <x:v>12.2</x:v>
      </x:c>
      <x:c r="L69" s="13" t="n">
        <x:v>0</x:v>
      </x:c>
      <x:c r="M69" s="15" t="n">
        <x:f>IF(I69=0,0,(K69+L69)/I69)</x:f>
        <x:v>1.22</x:v>
      </x:c>
      <x:c r="N69" s="13" t="n">
        <x:v>16</x:v>
      </x:c>
      <x:c r="O69" s="11" t="n">
        <x:v>1.15</x:v>
      </x:c>
      <x:c r="P69" s="11" t="n">
        <x:v>0.69</x:v>
      </x:c>
      <x:c r="Q69" s="13" t="n">
        <x:v>1.88</x:v>
      </x:c>
      <x:c r="R69" s="13" t="n">
        <x:v>47.8</x:v>
      </x:c>
      <x:c r="S69" s="13" t="n">
        <x:f>IF(OR(E69&lt;&gt;"Active",Q69=0),"-",R69/Q69)</x:f>
        <x:v>25.425531914893618</x:v>
      </x:c>
      <x:c r="T69" s="17" t="n">
        <x:v>199</x:v>
      </x:c>
    </x:row>
    <x:row r="70" ht="24" customHeight="1">
      <x:c r="A70" s="3" t="str">
        <x:v>Stonegather</x:v>
      </x:c>
      <x:c r="B70" s="3" t="str">
        <x:v>Data &amp; Analytics</x:v>
      </x:c>
      <x:c r="C70" s="3" t="str">
        <x:v>Fund III</x:v>
      </x:c>
      <x:c r="D70" s="3" t="str">
        <x:v>Seed</x:v>
      </x:c>
      <x:c r="E70" s="3" t="str">
        <x:v>Active</x:v>
      </x:c>
      <x:c r="F70" s="8" t="n">
        <x:v>45267</x:v>
      </x:c>
      <x:c r="G70" s="8" t="n">
        <x:v>45267</x:v>
      </x:c>
      <x:c r="H70" s="12" t="n">
        <x:v>18.1</x:v>
      </x:c>
      <x:c r="I70" s="12" t="n">
        <x:v>1.4</x:v>
      </x:c>
      <x:c r="J70" s="10" t="n">
        <x:v>0.094</x:v>
      </x:c>
      <x:c r="K70" s="12" t="n">
        <x:v>1.7</x:v>
      </x:c>
      <x:c r="L70" s="12" t="n">
        <x:v>0</x:v>
      </x:c>
      <x:c r="M70" s="14" t="n">
        <x:f>IF(I70=0,0,(K70+L70)/I70)</x:f>
        <x:v>1.2142857142857144</x:v>
      </x:c>
      <x:c r="N70" s="12" t="n">
        <x:v>1</x:v>
      </x:c>
      <x:c r="O70" s="10" t="n">
        <x:v>2.99</x:v>
      </x:c>
      <x:c r="P70" s="10" t="n">
        <x:v>0.65</x:v>
      </x:c>
      <x:c r="Q70" s="12" t="n">
        <x:v>0.3</x:v>
      </x:c>
      <x:c r="R70" s="12" t="n">
        <x:v>1.4</x:v>
      </x:c>
      <x:c r="S70" s="12" t="n">
        <x:f>IF(OR(E70&lt;&gt;"Active",Q70=0),"-",R70/Q70)</x:f>
        <x:v>4.666666666666667</x:v>
      </x:c>
      <x:c r="T70" s="16" t="n">
        <x:v>18</x:v>
      </x:c>
    </x:row>
    <x:row r="71" ht="24" customHeight="1">
      <x:c r="A71" s="7" t="str">
        <x:v>Tidewell Health</x:v>
      </x:c>
      <x:c r="B71" s="7" t="str">
        <x:v>Healthcare</x:v>
      </x:c>
      <x:c r="C71" s="7" t="str">
        <x:v>Fund III</x:v>
      </x:c>
      <x:c r="D71" s="7" t="str">
        <x:v>Seed</x:v>
      </x:c>
      <x:c r="E71" s="7" t="str">
        <x:v>Active</x:v>
      </x:c>
      <x:c r="F71" s="9" t="n">
        <x:v>45986</x:v>
      </x:c>
      <x:c r="G71" s="39" t="n">
        <x:v>45986</x:v>
      </x:c>
      <x:c r="H71" s="40" t="n">
        <x:v>12</x:v>
      </x:c>
      <x:c r="I71" s="40" t="n">
        <x:v>1.2</x:v>
      </x:c>
      <x:c r="J71" s="11" t="n">
        <x:v>0.087</x:v>
      </x:c>
      <x:c r="K71" s="40" t="n">
        <x:v>1</x:v>
      </x:c>
      <x:c r="L71" s="13" t="n">
        <x:v>0</x:v>
      </x:c>
      <x:c r="M71" s="15" t="n">
        <x:f>IF(I71=0,0,(K71+L71)/I71)</x:f>
        <x:v>0.8333333333333334</x:v>
      </x:c>
      <x:c r="N71" s="13" t="n">
        <x:v>1.4</x:v>
      </x:c>
      <x:c r="O71" s="11" t="n">
        <x:v>1.43</x:v>
      </x:c>
      <x:c r="P71" s="11" t="n">
        <x:v>0.69</x:v>
      </x:c>
      <x:c r="Q71" s="13" t="n">
        <x:v>0.19</x:v>
      </x:c>
      <x:c r="R71" s="13" t="n">
        <x:v>3.8</x:v>
      </x:c>
      <x:c r="S71" s="13" t="n">
        <x:f>IF(OR(E71&lt;&gt;"Active",Q71=0),"-",R71/Q71)</x:f>
        <x:v>20</x:v>
      </x:c>
      <x:c r="T71" s="17" t="n">
        <x:v>24</x:v>
      </x:c>
    </x:row>
    <x:row r="72" ht="24" customHeight="1">
      <x:c r="A72" s="3" t="str">
        <x:v>Umbrelight</x:v>
      </x:c>
      <x:c r="B72" s="3" t="str">
        <x:v>AI/ML</x:v>
      </x:c>
      <x:c r="C72" s="3" t="str">
        <x:v>Fund III</x:v>
      </x:c>
      <x:c r="D72" s="3" t="str">
        <x:v>Seed</x:v>
      </x:c>
      <x:c r="E72" s="3" t="str">
        <x:v>Active</x:v>
      </x:c>
      <x:c r="F72" s="8" t="n">
        <x:v>45418</x:v>
      </x:c>
      <x:c r="G72" s="8" t="n">
        <x:v>45418</x:v>
      </x:c>
      <x:c r="H72" s="12" t="n">
        <x:v>17.9</x:v>
      </x:c>
      <x:c r="I72" s="12" t="n">
        <x:v>1.3</x:v>
      </x:c>
      <x:c r="J72" s="10" t="n">
        <x:v>0.083</x:v>
      </x:c>
      <x:c r="K72" s="12" t="n">
        <x:v>1.5</x:v>
      </x:c>
      <x:c r="L72" s="12" t="n">
        <x:v>0</x:v>
      </x:c>
      <x:c r="M72" s="14" t="n">
        <x:f>IF(I72=0,0,(K72+L72)/I72)</x:f>
        <x:v>1.1538461538461537</x:v>
      </x:c>
      <x:c r="N72" s="12" t="n">
        <x:v>0.2</x:v>
      </x:c>
      <x:c r="O72" s="10" t="n">
        <x:v>0.65</x:v>
      </x:c>
      <x:c r="P72" s="10" t="n">
        <x:v>0.72</x:v>
      </x:c>
      <x:c r="Q72" s="12" t="n">
        <x:v>0.23</x:v>
      </x:c>
      <x:c r="R72" s="12" t="n">
        <x:v>6.2</x:v>
      </x:c>
      <x:c r="S72" s="12" t="n">
        <x:f>IF(OR(E72&lt;&gt;"Active",Q72=0),"-",R72/Q72)</x:f>
        <x:v>26.956521739130434</x:v>
      </x:c>
      <x:c r="T72" s="16" t="n">
        <x:v>20</x:v>
      </x:c>
    </x:row>
    <x:row r="73" ht="24" customHeight="1">
      <x:c r="A73" s="7" t="str">
        <x:v>Vinecroft</x:v>
      </x:c>
      <x:c r="B73" s="7" t="str">
        <x:v>AI/ML</x:v>
      </x:c>
      <x:c r="C73" s="7" t="str">
        <x:v>Fund I</x:v>
      </x:c>
      <x:c r="D73" s="7" t="str">
        <x:v>Series D+</x:v>
      </x:c>
      <x:c r="E73" s="7" t="str">
        <x:v>Active</x:v>
      </x:c>
      <x:c r="F73" s="9" t="n">
        <x:v>43844</x:v>
      </x:c>
      <x:c r="G73" s="9" t="n">
        <x:v>45777</x:v>
      </x:c>
      <x:c r="H73" s="13" t="n">
        <x:v>1390.7</x:v>
      </x:c>
      <x:c r="I73" s="13" t="n">
        <x:v>13.5</x:v>
      </x:c>
      <x:c r="J73" s="11" t="n">
        <x:v>0.016</x:v>
      </x:c>
      <x:c r="K73" s="13" t="n">
        <x:v>22.3</x:v>
      </x:c>
      <x:c r="L73" s="13" t="n">
        <x:v>0</x:v>
      </x:c>
      <x:c r="M73" s="15" t="n">
        <x:f>IF(I73=0,0,(K73+L73)/I73)</x:f>
        <x:v>1.651851851851852</x:v>
      </x:c>
      <x:c r="N73" s="13" t="n">
        <x:v>127.7</x:v>
      </x:c>
      <x:c r="O73" s="11" t="n">
        <x:v>0.45</x:v>
      </x:c>
      <x:c r="P73" s="11" t="n">
        <x:v>0.64</x:v>
      </x:c>
      <x:c r="Q73" s="13" t="n">
        <x:v>1.45</x:v>
      </x:c>
      <x:c r="R73" s="13" t="n">
        <x:v>37.8</x:v>
      </x:c>
      <x:c r="S73" s="13" t="n">
        <x:f>IF(OR(E73&lt;&gt;"Active",Q73=0),"-",R73/Q73)</x:f>
        <x:v>26.068965517241377</x:v>
      </x:c>
      <x:c r="T73" s="17" t="n">
        <x:v>1517</x:v>
      </x:c>
    </x:row>
    <x:row r="74" ht="24" customHeight="1">
      <x:c r="A74" s="3" t="str">
        <x:v>Willowmere Compute</x:v>
      </x:c>
      <x:c r="B74" s="3" t="str">
        <x:v>Cybersecurity</x:v>
      </x:c>
      <x:c r="C74" s="3" t="str">
        <x:v>Fund III</x:v>
      </x:c>
      <x:c r="D74" s="3" t="str">
        <x:v>Series A</x:v>
      </x:c>
      <x:c r="E74" s="3" t="str">
        <x:v>Active</x:v>
      </x:c>
      <x:c r="F74" s="8" t="n">
        <x:v>45387</x:v>
      </x:c>
      <x:c r="G74" s="8" t="n">
        <x:v>45744</x:v>
      </x:c>
      <x:c r="H74" s="12" t="n">
        <x:v>38.7</x:v>
      </x:c>
      <x:c r="I74" s="12" t="n">
        <x:v>6</x:v>
      </x:c>
      <x:c r="J74" s="10" t="n">
        <x:v>0.121</x:v>
      </x:c>
      <x:c r="K74" s="12" t="n">
        <x:v>4.7</x:v>
      </x:c>
      <x:c r="L74" s="12" t="n">
        <x:v>0</x:v>
      </x:c>
      <x:c r="M74" s="14" t="n">
        <x:f>IF(I74=0,0,(K74+L74)/I74)</x:f>
        <x:v>0.7833333333333333</x:v>
      </x:c>
      <x:c r="N74" s="12" t="n">
        <x:v>5.5</x:v>
      </x:c>
      <x:c r="O74" s="10" t="n">
        <x:v>0.45</x:v>
      </x:c>
      <x:c r="P74" s="10" t="n">
        <x:v>0.72</x:v>
      </x:c>
      <x:c r="Q74" s="12" t="n">
        <x:v>0.63</x:v>
      </x:c>
      <x:c r="R74" s="12" t="n">
        <x:v>11</x:v>
      </x:c>
      <x:c r="S74" s="12" t="n">
        <x:f>IF(OR(E74&lt;&gt;"Active",Q74=0),"-",R74/Q74)</x:f>
        <x:v>17.46031746031746</x:v>
      </x:c>
      <x:c r="T74" s="16" t="n">
        <x:v>25</x:v>
      </x:c>
    </x:row>
    <x:row r="75" ht="24" customHeight="1">
      <x:c r="A75" s="7" t="str">
        <x:v>Xylotta</x:v>
      </x:c>
      <x:c r="B75" s="7" t="str">
        <x:v>Cybersecurity</x:v>
      </x:c>
      <x:c r="C75" s="7" t="str">
        <x:v>Fund I</x:v>
      </x:c>
      <x:c r="D75" s="7" t="str">
        <x:v>Series D+</x:v>
      </x:c>
      <x:c r="E75" s="7" t="str">
        <x:v>Active</x:v>
      </x:c>
      <x:c r="F75" s="9" t="n">
        <x:v>44090</x:v>
      </x:c>
      <x:c r="G75" s="9" t="n">
        <x:v>44956</x:v>
      </x:c>
      <x:c r="H75" s="13" t="n">
        <x:v>2282.4</x:v>
      </x:c>
      <x:c r="I75" s="13" t="n">
        <x:v>20</x:v>
      </x:c>
      <x:c r="J75" s="11" t="n">
        <x:v>0.025</x:v>
      </x:c>
      <x:c r="K75" s="13" t="n">
        <x:v>57.1</x:v>
      </x:c>
      <x:c r="L75" s="13" t="n">
        <x:v>0</x:v>
      </x:c>
      <x:c r="M75" s="15" t="n">
        <x:f>IF(I75=0,0,(K75+L75)/I75)</x:f>
        <x:v>2.855</x:v>
      </x:c>
      <x:c r="N75" s="13" t="n">
        <x:v>204.3</x:v>
      </x:c>
      <x:c r="O75" s="11" t="n">
        <x:v>0.18</x:v>
      </x:c>
      <x:c r="P75" s="11" t="n">
        <x:v>0.81</x:v>
      </x:c>
      <x:c r="Q75" s="13" t="n">
        <x:v>0.91</x:v>
      </x:c>
      <x:c r="R75" s="13" t="n">
        <x:v>16</x:v>
      </x:c>
      <x:c r="S75" s="13" t="n">
        <x:f>IF(OR(E75&lt;&gt;"Active",Q75=0),"-",R75/Q75)</x:f>
        <x:v>17.58241758241758</x:v>
      </x:c>
      <x:c r="T75" s="17" t="n">
        <x:v>1508</x:v>
      </x:c>
    </x:row>
    <x:row r="76" ht="24" customHeight="1">
      <x:c r="A76" s="3" t="str">
        <x:v>Yewbranch Security</x:v>
      </x:c>
      <x:c r="B76" s="3" t="str">
        <x:v>Robotics</x:v>
      </x:c>
      <x:c r="C76" s="3" t="str">
        <x:v>Fund III</x:v>
      </x:c>
      <x:c r="D76" s="3" t="str">
        <x:v>Seed</x:v>
      </x:c>
      <x:c r="E76" s="3" t="str">
        <x:v>Active</x:v>
      </x:c>
      <x:c r="F76" s="8" t="n">
        <x:v>45401</x:v>
      </x:c>
      <x:c r="G76" s="8" t="n">
        <x:v>45961</x:v>
      </x:c>
      <x:c r="H76" s="12" t="n">
        <x:v>21.3</x:v>
      </x:c>
      <x:c r="I76" s="12" t="n">
        <x:v>2.5</x:v>
      </x:c>
      <x:c r="J76" s="10" t="n">
        <x:v>0.119</x:v>
      </x:c>
      <x:c r="K76" s="12" t="n">
        <x:v>2.5</x:v>
      </x:c>
      <x:c r="L76" s="12" t="n">
        <x:v>0</x:v>
      </x:c>
      <x:c r="M76" s="14" t="n">
        <x:f>IF(I76=0,0,(K76+L76)/I76)</x:f>
        <x:v>1</x:v>
      </x:c>
      <x:c r="N76" s="12" t="n">
        <x:v>0.1</x:v>
      </x:c>
      <x:c r="O76" s="10"/>
      <x:c r="P76" s="10" t="n">
        <x:v>0.38</x:v>
      </x:c>
      <x:c r="Q76" s="12" t="n">
        <x:v>0.27</x:v>
      </x:c>
      <x:c r="R76" s="12" t="n">
        <x:v>5.2</x:v>
      </x:c>
      <x:c r="S76" s="12" t="n">
        <x:f>IF(OR(E76&lt;&gt;"Active",Q76=0),"-",R76/Q76)</x:f>
        <x:v>19.25925925925926</x:v>
      </x:c>
      <x:c r="T76" s="16" t="n">
        <x:v>10</x:v>
      </x:c>
    </x:row>
    <x:row r="77" ht="24" customHeight="1">
      <x:c r="A77" s="7" t="str">
        <x:v>Zealwick</x:v>
      </x:c>
      <x:c r="B77" s="7" t="str">
        <x:v>Robotics</x:v>
      </x:c>
      <x:c r="C77" s="7" t="str">
        <x:v>Fund II</x:v>
      </x:c>
      <x:c r="D77" s="7" t="str">
        <x:v>Series B</x:v>
      </x:c>
      <x:c r="E77" s="7" t="str">
        <x:v>Active</x:v>
      </x:c>
      <x:c r="F77" s="9" t="n">
        <x:v>44861</x:v>
      </x:c>
      <x:c r="G77" s="9" t="n">
        <x:v>45435</x:v>
      </x:c>
      <x:c r="H77" s="13" t="n">
        <x:v>91</x:v>
      </x:c>
      <x:c r="I77" s="13" t="n">
        <x:v>4</x:v>
      </x:c>
      <x:c r="J77" s="11" t="n">
        <x:v>0.037</x:v>
      </x:c>
      <x:c r="K77" s="13" t="n">
        <x:v>3.4</x:v>
      </x:c>
      <x:c r="L77" s="13" t="n">
        <x:v>0</x:v>
      </x:c>
      <x:c r="M77" s="15" t="n">
        <x:f>IF(I77=0,0,(K77+L77)/I77)</x:f>
        <x:v>0.85</x:v>
      </x:c>
      <x:c r="N77" s="13" t="n">
        <x:v>9.8</x:v>
      </x:c>
      <x:c r="O77" s="11" t="n">
        <x:v>0.52</x:v>
      </x:c>
      <x:c r="P77" s="11" t="n">
        <x:v>0.31</x:v>
      </x:c>
      <x:c r="Q77" s="13" t="n">
        <x:v>0.61</x:v>
      </x:c>
      <x:c r="R77" s="13" t="n">
        <x:v>7.7</x:v>
      </x:c>
      <x:c r="S77" s="13" t="n">
        <x:f>IF(OR(E77&lt;&gt;"Active",Q77=0),"-",R77/Q77)</x:f>
        <x:v>12.622950819672132</x:v>
      </x:c>
      <x:c r="T77" s="17" t="n">
        <x:v>95</x:v>
      </x:c>
    </x:row>
    <x:row r="78" ht="24" customHeight="1">
      <x:c r="A78" s="3" t="str">
        <x:v>Alderpoint</x:v>
      </x:c>
      <x:c r="B78" s="3" t="str">
        <x:v>AI/ML</x:v>
      </x:c>
      <x:c r="C78" s="3" t="str">
        <x:v>Fund II</x:v>
      </x:c>
      <x:c r="D78" s="3" t="str">
        <x:v>Seed</x:v>
      </x:c>
      <x:c r="E78" s="3" t="str">
        <x:v>Active</x:v>
      </x:c>
      <x:c r="F78" s="8" t="n">
        <x:v>45139</x:v>
      </x:c>
      <x:c r="G78" s="8" t="n">
        <x:v>45139</x:v>
      </x:c>
      <x:c r="H78" s="12" t="n">
        <x:v>12.5</x:v>
      </x:c>
      <x:c r="I78" s="12" t="n">
        <x:v>1</x:v>
      </x:c>
      <x:c r="J78" s="10" t="n">
        <x:v>0.103</x:v>
      </x:c>
      <x:c r="K78" s="12" t="n">
        <x:v>1.3</x:v>
      </x:c>
      <x:c r="L78" s="12" t="n">
        <x:v>0</x:v>
      </x:c>
      <x:c r="M78" s="14" t="n">
        <x:f>IF(I78=0,0,(K78+L78)/I78)</x:f>
        <x:v>1.3</x:v>
      </x:c>
      <x:c r="N78" s="12" t="n">
        <x:v>0.4</x:v>
      </x:c>
      <x:c r="O78" s="10" t="n">
        <x:v>2.9</x:v>
      </x:c>
      <x:c r="P78" s="10" t="n">
        <x:v>0.76</x:v>
      </x:c>
      <x:c r="Q78" s="12" t="n">
        <x:v>0.25</x:v>
      </x:c>
      <x:c r="R78" s="12" t="n">
        <x:v>3.5</x:v>
      </x:c>
      <x:c r="S78" s="12" t="n">
        <x:f>IF(OR(E78&lt;&gt;"Active",Q78=0),"-",R78/Q78)</x:f>
        <x:v>14</x:v>
      </x:c>
      <x:c r="T78" s="16" t="n">
        <x:v>22</x:v>
      </x:c>
    </x:row>
    <x:row r="79" ht="24" customHeight="1">
      <x:c r="A79" s="7" t="str">
        <x:v>Brackenvale</x:v>
      </x:c>
      <x:c r="B79" s="7" t="str">
        <x:v>Healthcare</x:v>
      </x:c>
      <x:c r="C79" s="7" t="str">
        <x:v>Fund I</x:v>
      </x:c>
      <x:c r="D79" s="7" t="str">
        <x:v>Series C</x:v>
      </x:c>
      <x:c r="E79" s="7" t="str">
        <x:v>Active</x:v>
      </x:c>
      <x:c r="F79" s="9" t="n">
        <x:v>43796</x:v>
      </x:c>
      <x:c r="G79" s="9" t="n">
        <x:v>44925</x:v>
      </x:c>
      <x:c r="H79" s="13" t="n">
        <x:v>415.9</x:v>
      </x:c>
      <x:c r="I79" s="13" t="n">
        <x:v>6</x:v>
      </x:c>
      <x:c r="J79" s="11" t="n">
        <x:v>0.021</x:v>
      </x:c>
      <x:c r="K79" s="13" t="n">
        <x:v>8.7</x:v>
      </x:c>
      <x:c r="L79" s="13" t="n">
        <x:v>0</x:v>
      </x:c>
      <x:c r="M79" s="15" t="n">
        <x:f>IF(I79=0,0,(K79+L79)/I79)</x:f>
        <x:v>1.45</x:v>
      </x:c>
      <x:c r="N79" s="13" t="n">
        <x:v>64.1</x:v>
      </x:c>
      <x:c r="O79" s="11" t="n">
        <x:v>0.31</x:v>
      </x:c>
      <x:c r="P79" s="11" t="n">
        <x:v>0.49</x:v>
      </x:c>
      <x:c r="Q79" s="13" t="n">
        <x:v>2.97</x:v>
      </x:c>
      <x:c r="R79" s="13" t="n">
        <x:v>57.5</x:v>
      </x:c>
      <x:c r="S79" s="13" t="n">
        <x:f>IF(OR(E79&lt;&gt;"Active",Q79=0),"-",R79/Q79)</x:f>
        <x:v>19.36026936026936</x:v>
      </x:c>
      <x:c r="T79" s="17" t="n">
        <x:v>191</x:v>
      </x:c>
    </x:row>
    <x:row r="80" ht="24" customHeight="1">
      <x:c r="A80" s="3" t="str">
        <x:v>Coppermoss Energy</x:v>
      </x:c>
      <x:c r="B80" s="3" t="str">
        <x:v>Enterprise SaaS</x:v>
      </x:c>
      <x:c r="C80" s="3" t="str">
        <x:v>Fund III</x:v>
      </x:c>
      <x:c r="D80" s="3" t="str">
        <x:v>Seed</x:v>
      </x:c>
      <x:c r="E80" s="3" t="str">
        <x:v>Active</x:v>
      </x:c>
      <x:c r="F80" s="8" t="n">
        <x:v>45725</x:v>
      </x:c>
      <x:c r="G80" s="8" t="n">
        <x:v>45725</x:v>
      </x:c>
      <x:c r="H80" s="12" t="n">
        <x:v>25.5</x:v>
      </x:c>
      <x:c r="I80" s="12" t="n">
        <x:v>2.4</x:v>
      </x:c>
      <x:c r="J80" s="10" t="n">
        <x:v>0.101</x:v>
      </x:c>
      <x:c r="K80" s="12" t="n">
        <x:v>2.6</x:v>
      </x:c>
      <x:c r="L80" s="12" t="n">
        <x:v>0</x:v>
      </x:c>
      <x:c r="M80" s="14" t="n">
        <x:f>IF(I80=0,0,(K80+L80)/I80)</x:f>
        <x:v>1.0833333333333335</x:v>
      </x:c>
      <x:c r="N80" s="12" t="n">
        <x:v>0.9</x:v>
      </x:c>
      <x:c r="O80" s="10" t="n">
        <x:v>0.75</x:v>
      </x:c>
      <x:c r="P80" s="10" t="n">
        <x:v>0.7</x:v>
      </x:c>
      <x:c r="Q80" s="12" t="n">
        <x:v>0.24</x:v>
      </x:c>
      <x:c r="R80" s="12" t="n">
        <x:v>7.8</x:v>
      </x:c>
      <x:c r="S80" s="12" t="n">
        <x:f>IF(OR(E80&lt;&gt;"Active",Q80=0),"-",R80/Q80)</x:f>
        <x:v>32.5</x:v>
      </x:c>
      <x:c r="T80" s="16" t="n">
        <x:v>11</x:v>
      </x:c>
    </x:row>
    <x:row r="81" ht="24" customHeight="1">
      <x:c r="A81" s="7" t="str">
        <x:v>Dellforge</x:v>
      </x:c>
      <x:c r="B81" s="7" t="str">
        <x:v>Developer Tools</x:v>
      </x:c>
      <x:c r="C81" s="7" t="str">
        <x:v>Fund I</x:v>
      </x:c>
      <x:c r="D81" s="7" t="str">
        <x:v>Series C</x:v>
      </x:c>
      <x:c r="E81" s="7" t="str">
        <x:v>Active</x:v>
      </x:c>
      <x:c r="F81" s="9" t="n">
        <x:v>44159</x:v>
      </x:c>
      <x:c r="G81" s="9" t="n">
        <x:v>45866</x:v>
      </x:c>
      <x:c r="H81" s="13" t="n">
        <x:v>677.3</x:v>
      </x:c>
      <x:c r="I81" s="13" t="n">
        <x:v>14.4</x:v>
      </x:c>
      <x:c r="J81" s="11" t="n">
        <x:v>0.041</x:v>
      </x:c>
      <x:c r="K81" s="13" t="n">
        <x:v>27.8</x:v>
      </x:c>
      <x:c r="L81" s="13" t="n">
        <x:v>0</x:v>
      </x:c>
      <x:c r="M81" s="15" t="n">
        <x:f>IF(I81=0,0,(K81+L81)/I81)</x:f>
        <x:v>1.9305555555555556</x:v>
      </x:c>
      <x:c r="N81" s="13" t="n">
        <x:v>78.8</x:v>
      </x:c>
      <x:c r="O81" s="11" t="n">
        <x:v>0.29</x:v>
      </x:c>
      <x:c r="P81" s="11" t="n">
        <x:v>0.7</x:v>
      </x:c>
      <x:c r="Q81" s="13" t="n">
        <x:v>2.46</x:v>
      </x:c>
      <x:c r="R81" s="13" t="n">
        <x:v>73.6</x:v>
      </x:c>
      <x:c r="S81" s="13" t="n">
        <x:f>IF(OR(E81&lt;&gt;"Active",Q81=0),"-",R81/Q81)</x:f>
        <x:v>29.91869918699187</x:v>
      </x:c>
      <x:c r="T81" s="17" t="n">
        <x:v>582</x:v>
      </x:c>
    </x:row>
    <x:row r="82" ht="24" customHeight="1">
      <x:c r="A82" s="3" t="str">
        <x:v>Everbrook Analytics</x:v>
      </x:c>
      <x:c r="B82" s="3" t="str">
        <x:v>Enterprise SaaS</x:v>
      </x:c>
      <x:c r="C82" s="3" t="str">
        <x:v>Fund II</x:v>
      </x:c>
      <x:c r="D82" s="3" t="str">
        <x:v>Series B</x:v>
      </x:c>
      <x:c r="E82" s="34" t="str">
        <x:v>Active</x:v>
      </x:c>
      <x:c r="F82" s="8" t="n">
        <x:v>45024</x:v>
      </x:c>
      <x:c r="G82" s="8" t="n">
        <x:v>45482</x:v>
      </x:c>
      <x:c r="H82" s="12" t="n">
        <x:v>130.7</x:v>
      </x:c>
      <x:c r="I82" s="12" t="n">
        <x:v>5.3</x:v>
      </x:c>
      <x:c r="J82" s="10" t="n">
        <x:v>0.037</x:v>
      </x:c>
      <x:c r="K82" s="33" t="n">
        <x:v>1.9</x:v>
      </x:c>
      <x:c r="L82" s="12" t="n">
        <x:v>0</x:v>
      </x:c>
      <x:c r="M82" s="14" t="n">
        <x:f>IF(I82=0,0,(K82+L82)/I82)</x:f>
        <x:v>0.3584905660377358</x:v>
      </x:c>
      <x:c r="N82" s="33" t="n">
        <x:v>1.2</x:v>
      </x:c>
      <x:c r="O82" s="36" t="n">
        <x:v>-0.4</x:v>
      </x:c>
      <x:c r="P82" s="36" t="n">
        <x:v>0.5</x:v>
      </x:c>
      <x:c r="Q82" s="33" t="n">
        <x:v>0.4</x:v>
      </x:c>
      <x:c r="R82" s="33" t="n">
        <x:v>0.2</x:v>
      </x:c>
      <x:c r="S82" s="12" t="n">
        <x:f>IF(OR(E82&lt;&gt;"Active",Q82=0),"-",R82/Q82)</x:f>
        <x:v>0.5</x:v>
      </x:c>
      <x:c r="T82" s="37" t="n">
        <x:v>12</x:v>
      </x:c>
    </x:row>
    <x:row r="83" ht="24" customHeight="1">
      <x:c r="A83" s="7" t="str">
        <x:v>Fenwright</x:v>
      </x:c>
      <x:c r="B83" s="7" t="str">
        <x:v>Enterprise SaaS</x:v>
      </x:c>
      <x:c r="C83" s="7" t="str">
        <x:v>Fund I</x:v>
      </x:c>
      <x:c r="D83" s="7" t="str">
        <x:v>Series C</x:v>
      </x:c>
      <x:c r="E83" s="7" t="str">
        <x:v>Active</x:v>
      </x:c>
      <x:c r="F83" s="9" t="n">
        <x:v>43828</x:v>
      </x:c>
      <x:c r="G83" s="9" t="n">
        <x:v>45127</x:v>
      </x:c>
      <x:c r="H83" s="13" t="n">
        <x:v>285.1</x:v>
      </x:c>
      <x:c r="I83" s="13" t="n">
        <x:v>12.4</x:v>
      </x:c>
      <x:c r="J83" s="11" t="n">
        <x:v>0.038</x:v>
      </x:c>
      <x:c r="K83" s="13" t="n">
        <x:v>10.8</x:v>
      </x:c>
      <x:c r="L83" s="13" t="n">
        <x:v>0</x:v>
      </x:c>
      <x:c r="M83" s="15" t="n">
        <x:f>IF(I83=0,0,(K83+L83)/I83)</x:f>
        <x:v>0.8709677419354839</x:v>
      </x:c>
      <x:c r="N83" s="13" t="n">
        <x:v>68.6</x:v>
      </x:c>
      <x:c r="O83" s="11" t="n">
        <x:v>0.53</x:v>
      </x:c>
      <x:c r="P83" s="11" t="n">
        <x:v>0.82</x:v>
      </x:c>
      <x:c r="Q83" s="13" t="n">
        <x:v>2.95</x:v>
      </x:c>
      <x:c r="R83" s="13" t="n">
        <x:v>56</x:v>
      </x:c>
      <x:c r="S83" s="13" t="n">
        <x:f>IF(OR(E83&lt;&gt;"Active",Q83=0),"-",R83/Q83)</x:f>
        <x:v>18.983050847457626</x:v>
      </x:c>
      <x:c r="T83" s="17" t="n">
        <x:v>514</x:v>
      </x:c>
    </x:row>
    <x:row r="84" ht="24" customHeight="1">
      <x:c r="A84" s="3" t="str">
        <x:v>Gablewood</x:v>
      </x:c>
      <x:c r="B84" s="3" t="str">
        <x:v>AI/ML</x:v>
      </x:c>
      <x:c r="C84" s="3" t="str">
        <x:v>Fund III</x:v>
      </x:c>
      <x:c r="D84" s="3" t="str">
        <x:v>Seed</x:v>
      </x:c>
      <x:c r="E84" s="3" t="str">
        <x:v>Active</x:v>
      </x:c>
      <x:c r="F84" s="8" t="n">
        <x:v>45481</x:v>
      </x:c>
      <x:c r="G84" s="8" t="n">
        <x:v>45910</x:v>
      </x:c>
      <x:c r="H84" s="12" t="n">
        <x:v>10.1</x:v>
      </x:c>
      <x:c r="I84" s="12" t="n">
        <x:v>1</x:v>
      </x:c>
      <x:c r="J84" s="10" t="n">
        <x:v>0.063</x:v>
      </x:c>
      <x:c r="K84" s="12" t="n">
        <x:v>0.6</x:v>
      </x:c>
      <x:c r="L84" s="12" t="n">
        <x:v>0</x:v>
      </x:c>
      <x:c r="M84" s="14" t="n">
        <x:f>IF(I84=0,0,(K84+L84)/I84)</x:f>
        <x:v>0.6</x:v>
      </x:c>
      <x:c r="N84" s="12" t="n">
        <x:v>0.9</x:v>
      </x:c>
      <x:c r="O84" s="10" t="n">
        <x:v>0.64</x:v>
      </x:c>
      <x:c r="P84" s="10" t="n">
        <x:v>0.67</x:v>
      </x:c>
      <x:c r="Q84" s="12" t="n">
        <x:v>0.22</x:v>
      </x:c>
      <x:c r="R84" s="12" t="n">
        <x:v>4.7</x:v>
      </x:c>
      <x:c r="S84" s="12" t="n">
        <x:f>IF(OR(E84&lt;&gt;"Active",Q84=0),"-",R84/Q84)</x:f>
        <x:v>21.363636363636363</x:v>
      </x:c>
      <x:c r="T84" s="16" t="n">
        <x:v>15</x:v>
      </x:c>
    </x:row>
    <x:row r="85" ht="24" customHeight="1">
      <x:c r="A85" s="7" t="str">
        <x:v>Islewind</x:v>
      </x:c>
      <x:c r="B85" s="7" t="str">
        <x:v>Infrastructure</x:v>
      </x:c>
      <x:c r="C85" s="7" t="str">
        <x:v>Fund II</x:v>
      </x:c>
      <x:c r="D85" s="7" t="str">
        <x:v>Series B</x:v>
      </x:c>
      <x:c r="E85" s="7" t="str">
        <x:v>Active</x:v>
      </x:c>
      <x:c r="F85" s="9" t="n">
        <x:v>44474</x:v>
      </x:c>
      <x:c r="G85" s="9" t="n">
        <x:v>44995</x:v>
      </x:c>
      <x:c r="H85" s="13" t="n">
        <x:v>278.1</x:v>
      </x:c>
      <x:c r="I85" s="13" t="n">
        <x:v>10</x:v>
      </x:c>
      <x:c r="J85" s="11" t="n">
        <x:v>0.036</x:v>
      </x:c>
      <x:c r="K85" s="13" t="n">
        <x:v>10</x:v>
      </x:c>
      <x:c r="L85" s="13" t="n">
        <x:v>0</x:v>
      </x:c>
      <x:c r="M85" s="15" t="n">
        <x:f>IF(I85=0,0,(K85+L85)/I85)</x:f>
        <x:v>1</x:v>
      </x:c>
      <x:c r="N85" s="13" t="n">
        <x:v>12.7</x:v>
      </x:c>
      <x:c r="O85" s="11" t="n">
        <x:v>0.75</x:v>
      </x:c>
      <x:c r="P85" s="11" t="n">
        <x:v>0.67</x:v>
      </x:c>
      <x:c r="Q85" s="13" t="n">
        <x:v>1.31</x:v>
      </x:c>
      <x:c r="R85" s="13" t="n">
        <x:v>10.5</x:v>
      </x:c>
      <x:c r="S85" s="13" t="n">
        <x:f>IF(OR(E85&lt;&gt;"Active",Q85=0),"-",R85/Q85)</x:f>
        <x:v>8.015267175572518</x:v>
      </x:c>
      <x:c r="T85" s="17" t="n">
        <x:v>122</x:v>
      </x:c>
    </x:row>
    <x:row r="86" ht="24" customHeight="1">
      <x:c r="A86" s="3" t="str">
        <x:v>Juttermill</x:v>
      </x:c>
      <x:c r="B86" s="3" t="str">
        <x:v>Enterprise SaaS</x:v>
      </x:c>
      <x:c r="C86" s="3" t="str">
        <x:v>Fund I</x:v>
      </x:c>
      <x:c r="D86" s="3" t="str">
        <x:v>Series A</x:v>
      </x:c>
      <x:c r="E86" s="3" t="str">
        <x:v>Active</x:v>
      </x:c>
      <x:c r="F86" s="8" t="n">
        <x:v>43890</x:v>
      </x:c>
      <x:c r="G86" s="8" t="n">
        <x:v>44455</x:v>
      </x:c>
      <x:c r="H86" s="12" t="n">
        <x:v>8.2</x:v>
      </x:c>
      <x:c r="I86" s="12" t="n">
        <x:v>2</x:v>
      </x:c>
      <x:c r="J86" s="10" t="n">
        <x:v>0.08</x:v>
      </x:c>
      <x:c r="K86" s="12" t="n">
        <x:v>0.7</x:v>
      </x:c>
      <x:c r="L86" s="12" t="n">
        <x:v>0</x:v>
      </x:c>
      <x:c r="M86" s="14" t="n">
        <x:f>IF(I86=0,0,(K86+L86)/I86)</x:f>
        <x:v>0.35</x:v>
      </x:c>
      <x:c r="N86" s="12" t="n">
        <x:v>4.8</x:v>
      </x:c>
      <x:c r="O86" s="10" t="n">
        <x:v>1.01</x:v>
      </x:c>
      <x:c r="P86" s="10" t="n">
        <x:v>0.75</x:v>
      </x:c>
      <x:c r="Q86" s="12" t="n">
        <x:v>0.44</x:v>
      </x:c>
      <x:c r="R86" s="12" t="n">
        <x:v>11.7</x:v>
      </x:c>
      <x:c r="S86" s="12" t="n">
        <x:f>IF(OR(E86&lt;&gt;"Active",Q86=0),"-",R86/Q86)</x:f>
        <x:v>26.59090909090909</x:v>
      </x:c>
      <x:c r="T86" s="16" t="n">
        <x:v>53</x:v>
      </x:c>
    </x:row>
    <x:row r="87" ht="24" customHeight="1">
      <x:c r="A87" s="7" t="str">
        <x:v>Knollward</x:v>
      </x:c>
      <x:c r="B87" s="7" t="str">
        <x:v>AI/ML</x:v>
      </x:c>
      <x:c r="C87" s="7" t="str">
        <x:v>Fund I</x:v>
      </x:c>
      <x:c r="D87" s="7" t="str">
        <x:v>Series C</x:v>
      </x:c>
      <x:c r="E87" s="7" t="str">
        <x:v>Active</x:v>
      </x:c>
      <x:c r="F87" s="9" t="n">
        <x:v>44314</x:v>
      </x:c>
      <x:c r="G87" s="9" t="n">
        <x:v>44806</x:v>
      </x:c>
      <x:c r="H87" s="13" t="n">
        <x:v>842.1</x:v>
      </x:c>
      <x:c r="I87" s="13" t="n">
        <x:v>14</x:v>
      </x:c>
      <x:c r="J87" s="11" t="n">
        <x:v>0.058</x:v>
      </x:c>
      <x:c r="K87" s="13" t="n">
        <x:v>48.8</x:v>
      </x:c>
      <x:c r="L87" s="13" t="n">
        <x:v>0</x:v>
      </x:c>
      <x:c r="M87" s="15" t="n">
        <x:f>IF(I87=0,0,(K87+L87)/I87)</x:f>
        <x:v>3.4857142857142853</x:v>
      </x:c>
      <x:c r="N87" s="13" t="n">
        <x:v>54.5</x:v>
      </x:c>
      <x:c r="O87" s="11" t="n">
        <x:v>0.72</x:v>
      </x:c>
      <x:c r="P87" s="11" t="n">
        <x:v>0.62</x:v>
      </x:c>
      <x:c r="Q87" s="13" t="n">
        <x:v>2.73</x:v>
      </x:c>
      <x:c r="R87" s="13" t="n">
        <x:v>50</x:v>
      </x:c>
      <x:c r="S87" s="13" t="n">
        <x:f>IF(OR(E87&lt;&gt;"Active",Q87=0),"-",R87/Q87)</x:f>
        <x:v>18.315018315018314</x:v>
      </x:c>
      <x:c r="T87" s="17" t="n">
        <x:v>495</x:v>
      </x:c>
    </x:row>
    <x:row r="88" ht="24" customHeight="1">
      <x:c r="A88" s="3" t="str">
        <x:v>Lanternfell Space</x:v>
      </x:c>
      <x:c r="B88" s="3" t="str">
        <x:v>Enterprise SaaS</x:v>
      </x:c>
      <x:c r="C88" s="3" t="str">
        <x:v>Fund II</x:v>
      </x:c>
      <x:c r="D88" s="3" t="str">
        <x:v>Series C</x:v>
      </x:c>
      <x:c r="E88" s="3" t="str">
        <x:v>Active</x:v>
      </x:c>
      <x:c r="F88" s="8" t="n">
        <x:v>44969</x:v>
      </x:c>
      <x:c r="G88" s="8" t="n">
        <x:v>45826</x:v>
      </x:c>
      <x:c r="H88" s="12" t="n">
        <x:v>653.6</x:v>
      </x:c>
      <x:c r="I88" s="12" t="n">
        <x:v>15</x:v>
      </x:c>
      <x:c r="J88" s="10" t="n">
        <x:v>0.057</x:v>
      </x:c>
      <x:c r="K88" s="12" t="n">
        <x:v>37.3</x:v>
      </x:c>
      <x:c r="L88" s="12" t="n">
        <x:v>0</x:v>
      </x:c>
      <x:c r="M88" s="14" t="n">
        <x:f>IF(I88=0,0,(K88+L88)/I88)</x:f>
        <x:v>2.4866666666666664</x:v>
      </x:c>
      <x:c r="N88" s="12" t="n">
        <x:v>74</x:v>
      </x:c>
      <x:c r="O88" s="10" t="n">
        <x:v>0.55</x:v>
      </x:c>
      <x:c r="P88" s="10" t="n">
        <x:v>0.73</x:v>
      </x:c>
      <x:c r="Q88" s="12" t="n">
        <x:v>1.64</x:v>
      </x:c>
      <x:c r="R88" s="12" t="n">
        <x:v>22.2</x:v>
      </x:c>
      <x:c r="S88" s="12" t="n">
        <x:f>IF(OR(E88&lt;&gt;"Active",Q88=0),"-",R88/Q88)</x:f>
        <x:v>13.536585365853659</x:v>
      </x:c>
      <x:c r="T88" s="16" t="n">
        <x:v>320</x:v>
      </x:c>
    </x:row>
    <x:row r="89" ht="24" customHeight="1">
      <x:c r="A89" s="7" t="str">
        <x:v>Mardellan</x:v>
      </x:c>
      <x:c r="B89" s="7" t="str">
        <x:v>Robotics</x:v>
      </x:c>
      <x:c r="C89" s="7" t="str">
        <x:v>Fund I</x:v>
      </x:c>
      <x:c r="D89" s="7" t="str">
        <x:v>Series D+</x:v>
      </x:c>
      <x:c r="E89" s="7" t="str">
        <x:v>Active</x:v>
      </x:c>
      <x:c r="F89" s="9" t="n">
        <x:v>43980</x:v>
      </x:c>
      <x:c r="G89" s="9" t="n">
        <x:v>44702</x:v>
      </x:c>
      <x:c r="H89" s="13" t="n">
        <x:v>5699.4</x:v>
      </x:c>
      <x:c r="I89" s="13" t="n">
        <x:v>10.9</x:v>
      </x:c>
      <x:c r="J89" s="11" t="n">
        <x:v>0.012</x:v>
      </x:c>
      <x:c r="K89" s="13" t="n">
        <x:v>68.4</x:v>
      </x:c>
      <x:c r="L89" s="13" t="n">
        <x:v>0</x:v>
      </x:c>
      <x:c r="M89" s="15" t="n">
        <x:f>IF(I89=0,0,(K89+L89)/I89)</x:f>
        <x:v>6.275229357798166</x:v>
      </x:c>
      <x:c r="N89" s="13" t="n">
        <x:v>252.8</x:v>
      </x:c>
      <x:c r="O89" s="11" t="n">
        <x:v>0.54</x:v>
      </x:c>
      <x:c r="P89" s="11" t="n">
        <x:v>0.45</x:v>
      </x:c>
      <x:c r="Q89" s="13" t="n">
        <x:v>3.63</x:v>
      </x:c>
      <x:c r="R89" s="13" t="n">
        <x:v>57.8</x:v>
      </x:c>
      <x:c r="S89" s="13" t="n">
        <x:f>IF(OR(E89&lt;&gt;"Active",Q89=0),"-",R89/Q89)</x:f>
        <x:v>15.922865013774105</x:v>
      </x:c>
      <x:c r="T89" s="17" t="n">
        <x:v>718</x:v>
      </x:c>
    </x:row>
    <x:row r="90" ht="24" customHeight="1">
      <x:c r="A90" s="3" t="str">
        <x:v>Northquill</x:v>
      </x:c>
      <x:c r="B90" s="3" t="str">
        <x:v>Cybersecurity</x:v>
      </x:c>
      <x:c r="C90" s="3" t="str">
        <x:v>Fund I</x:v>
      </x:c>
      <x:c r="D90" s="3" t="str">
        <x:v>Series B</x:v>
      </x:c>
      <x:c r="E90" s="3" t="str">
        <x:v>Active</x:v>
      </x:c>
      <x:c r="F90" s="8" t="n">
        <x:v>44352</x:v>
      </x:c>
      <x:c r="G90" s="8" t="n">
        <x:v>45266</x:v>
      </x:c>
      <x:c r="H90" s="12" t="n">
        <x:v>289.9</x:v>
      </x:c>
      <x:c r="I90" s="12" t="n">
        <x:v>10</x:v>
      </x:c>
      <x:c r="J90" s="10" t="n">
        <x:v>0.083</x:v>
      </x:c>
      <x:c r="K90" s="12" t="n">
        <x:v>24.1</x:v>
      </x:c>
      <x:c r="L90" s="12" t="n">
        <x:v>0</x:v>
      </x:c>
      <x:c r="M90" s="14" t="n">
        <x:f>IF(I90=0,0,(K90+L90)/I90)</x:f>
        <x:v>2.41</x:v>
      </x:c>
      <x:c r="N90" s="12" t="n">
        <x:v>12.8</x:v>
      </x:c>
      <x:c r="O90" s="10" t="n">
        <x:v>0.79</x:v>
      </x:c>
      <x:c r="P90" s="10" t="n">
        <x:v>0.7</x:v>
      </x:c>
      <x:c r="Q90" s="12" t="n">
        <x:v>0.69</x:v>
      </x:c>
      <x:c r="R90" s="12" t="n">
        <x:v>5.6</x:v>
      </x:c>
      <x:c r="S90" s="12" t="n">
        <x:f>IF(OR(E90&lt;&gt;"Active",Q90=0),"-",R90/Q90)</x:f>
        <x:v>8.115942028985508</x:v>
      </x:c>
      <x:c r="T90" s="16" t="n">
        <x:v>92</x:v>
      </x:c>
    </x:row>
    <x:row r="91" ht="24" customHeight="1">
      <x:c r="A91" s="7" t="str">
        <x:v>Oxbowlane</x:v>
      </x:c>
      <x:c r="B91" s="7" t="str">
        <x:v>Developer Tools</x:v>
      </x:c>
      <x:c r="C91" s="7" t="str">
        <x:v>Fund II</x:v>
      </x:c>
      <x:c r="D91" s="7" t="str">
        <x:v>Series B</x:v>
      </x:c>
      <x:c r="E91" s="7" t="str">
        <x:v>Active</x:v>
      </x:c>
      <x:c r="F91" s="9" t="n">
        <x:v>44470</x:v>
      </x:c>
      <x:c r="G91" s="9" t="n">
        <x:v>45898</x:v>
      </x:c>
      <x:c r="H91" s="13" t="n">
        <x:v>302.2</x:v>
      </x:c>
      <x:c r="I91" s="13" t="n">
        <x:v>10</x:v>
      </x:c>
      <x:c r="J91" s="11" t="n">
        <x:v>0.043</x:v>
      </x:c>
      <x:c r="K91" s="13" t="n">
        <x:v>13</x:v>
      </x:c>
      <x:c r="L91" s="13" t="n">
        <x:v>0</x:v>
      </x:c>
      <x:c r="M91" s="15" t="n">
        <x:f>IF(I91=0,0,(K91+L91)/I91)</x:f>
        <x:v>1.3</x:v>
      </x:c>
      <x:c r="N91" s="13" t="n">
        <x:v>14.3</x:v>
      </x:c>
      <x:c r="O91" s="11" t="n">
        <x:v>0.46</x:v>
      </x:c>
      <x:c r="P91" s="11" t="n">
        <x:v>0.71</x:v>
      </x:c>
      <x:c r="Q91" s="13" t="n">
        <x:v>1.37</x:v>
      </x:c>
      <x:c r="R91" s="13" t="n">
        <x:v>29.3</x:v>
      </x:c>
      <x:c r="S91" s="13" t="n">
        <x:f>IF(OR(E91&lt;&gt;"Active",Q91=0),"-",R91/Q91)</x:f>
        <x:v>21.38686131386861</x:v>
      </x:c>
      <x:c r="T91" s="17" t="n">
        <x:v>78</x:v>
      </x:c>
    </x:row>
    <x:row r="92" ht="24" customHeight="1">
      <x:c r="A92" s="3" t="str">
        <x:v>Petrelbay</x:v>
      </x:c>
      <x:c r="B92" s="3" t="str">
        <x:v>Infrastructure</x:v>
      </x:c>
      <x:c r="C92" s="3" t="str">
        <x:v>Fund III</x:v>
      </x:c>
      <x:c r="D92" s="3" t="str">
        <x:v>Seed</x:v>
      </x:c>
      <x:c r="E92" s="3" t="str">
        <x:v>Active</x:v>
      </x:c>
      <x:c r="F92" s="8" t="n">
        <x:v>45630</x:v>
      </x:c>
      <x:c r="G92" s="8" t="n">
        <x:v>45630</x:v>
      </x:c>
      <x:c r="H92" s="12" t="n">
        <x:v>22.6</x:v>
      </x:c>
      <x:c r="I92" s="12" t="n">
        <x:v>1.8</x:v>
      </x:c>
      <x:c r="J92" s="10" t="n">
        <x:v>0.077</x:v>
      </x:c>
      <x:c r="K92" s="12" t="n">
        <x:v>1.7</x:v>
      </x:c>
      <x:c r="L92" s="12" t="n">
        <x:v>0</x:v>
      </x:c>
      <x:c r="M92" s="14" t="n">
        <x:f>IF(I92=0,0,(K92+L92)/I92)</x:f>
        <x:v>0.9444444444444444</x:v>
      </x:c>
      <x:c r="N92" s="12" t="n">
        <x:v>0.7</x:v>
      </x:c>
      <x:c r="O92" s="10" t="n">
        <x:v>-0.3</x:v>
      </x:c>
      <x:c r="P92" s="10" t="n">
        <x:v>0.51</x:v>
      </x:c>
      <x:c r="Q92" s="12" t="n">
        <x:v>0.27</x:v>
      </x:c>
      <x:c r="R92" s="12" t="n">
        <x:v>5.2</x:v>
      </x:c>
      <x:c r="S92" s="12" t="n">
        <x:f>IF(OR(E92&lt;&gt;"Active",Q92=0),"-",R92/Q92)</x:f>
        <x:v>19.25925925925926</x:v>
      </x:c>
      <x:c r="T92" s="16" t="n">
        <x:v>17</x:v>
      </x:c>
    </x:row>
    <x:row r="93" ht="24" customHeight="1">
      <x:c r="A93" s="7" t="str">
        <x:v>Quenchpoint Energy</x:v>
      </x:c>
      <x:c r="B93" s="7" t="str">
        <x:v>Fintech</x:v>
      </x:c>
      <x:c r="C93" s="7" t="str">
        <x:v>Fund II</x:v>
      </x:c>
      <x:c r="D93" s="7" t="str">
        <x:v>Series A</x:v>
      </x:c>
      <x:c r="E93" s="7" t="str">
        <x:v>Active</x:v>
      </x:c>
      <x:c r="F93" s="9" t="n">
        <x:v>45113</x:v>
      </x:c>
      <x:c r="G93" s="9" t="n">
        <x:v>45727</x:v>
      </x:c>
      <x:c r="H93" s="13" t="n">
        <x:v>60.3</x:v>
      </x:c>
      <x:c r="I93" s="13" t="n">
        <x:v>6</x:v>
      </x:c>
      <x:c r="J93" s="11" t="n">
        <x:v>0.13</x:v>
      </x:c>
      <x:c r="K93" s="13" t="n">
        <x:v>7.8</x:v>
      </x:c>
      <x:c r="L93" s="13" t="n">
        <x:v>0</x:v>
      </x:c>
      <x:c r="M93" s="15" t="n">
        <x:f>IF(I93=0,0,(K93+L93)/I93)</x:f>
        <x:v>1.3</x:v>
      </x:c>
      <x:c r="N93" s="13" t="n">
        <x:v>1.7</x:v>
      </x:c>
      <x:c r="O93" s="11" t="n">
        <x:v>0.62</x:v>
      </x:c>
      <x:c r="P93" s="11" t="n">
        <x:v>0.7</x:v>
      </x:c>
      <x:c r="Q93" s="13" t="n">
        <x:v>0.27</x:v>
      </x:c>
      <x:c r="R93" s="13" t="n">
        <x:v>5</x:v>
      </x:c>
      <x:c r="S93" s="13" t="n">
        <x:f>IF(OR(E93&lt;&gt;"Active",Q93=0),"-",R93/Q93)</x:f>
        <x:v>18.51851851851852</x:v>
      </x:c>
      <x:c r="T93" s="17" t="n">
        <x:v>39</x:v>
      </x:c>
    </x:row>
    <x:row r="94" ht="24" customHeight="1">
      <x:c r="A94" s="3" t="str">
        <x:v>Saffronwell</x:v>
      </x:c>
      <x:c r="B94" s="3" t="str">
        <x:v>Data &amp; Analytics</x:v>
      </x:c>
      <x:c r="C94" s="3" t="str">
        <x:v>Fund II</x:v>
      </x:c>
      <x:c r="D94" s="34" t="str">
        <x:v>Seed</x:v>
      </x:c>
      <x:c r="E94" s="3" t="str">
        <x:v>Active</x:v>
      </x:c>
      <x:c r="F94" s="8" t="n">
        <x:v>44721</x:v>
      </x:c>
      <x:c r="G94" s="35" t="n">
        <x:v>45698</x:v>
      </x:c>
      <x:c r="H94" s="33" t="n">
        <x:v>40</x:v>
      </x:c>
      <x:c r="I94" s="33" t="n">
        <x:v>2.5</x:v>
      </x:c>
      <x:c r="J94" s="36" t="n">
        <x:v>0.09</x:v>
      </x:c>
      <x:c r="K94" s="33" t="n">
        <x:v>3.6</x:v>
      </x:c>
      <x:c r="L94" s="12" t="n">
        <x:v>0</x:v>
      </x:c>
      <x:c r="M94" s="14" t="n">
        <x:f>IF(I94=0,0,(K94+L94)/I94)</x:f>
        <x:v>1.44</x:v>
      </x:c>
      <x:c r="N94" s="12" t="n">
        <x:v>1.6</x:v>
      </x:c>
      <x:c r="O94" s="10" t="n">
        <x:v>1.16</x:v>
      </x:c>
      <x:c r="P94" s="10" t="n">
        <x:v>0.74</x:v>
      </x:c>
      <x:c r="Q94" s="12" t="n">
        <x:v>0.46</x:v>
      </x:c>
      <x:c r="R94" s="12" t="n">
        <x:v>6.6</x:v>
      </x:c>
      <x:c r="S94" s="12" t="n">
        <x:f>IF(OR(E94&lt;&gt;"Active",Q94=0),"-",R94/Q94)</x:f>
        <x:v>14.34782608695652</x:v>
      </x:c>
      <x:c r="T94" s="16" t="n">
        <x:v>60</x:v>
      </x:c>
    </x:row>
    <x:row r="95" ht="24" customHeight="1">
      <x:c r="A95" s="7" t="str">
        <x:v>Thornmill Systems</x:v>
      </x:c>
      <x:c r="B95" s="7" t="str">
        <x:v>Space &amp; Defense</x:v>
      </x:c>
      <x:c r="C95" s="7" t="str">
        <x:v>Fund II</x:v>
      </x:c>
      <x:c r="D95" s="7" t="str">
        <x:v>Series D+</x:v>
      </x:c>
      <x:c r="E95" s="7" t="str">
        <x:v>Active</x:v>
      </x:c>
      <x:c r="F95" s="9" t="n">
        <x:v>45044</x:v>
      </x:c>
      <x:c r="G95" s="9" t="n">
        <x:v>45751</x:v>
      </x:c>
      <x:c r="H95" s="13" t="n">
        <x:v>2170.9</x:v>
      </x:c>
      <x:c r="I95" s="13" t="n">
        <x:v>20</x:v>
      </x:c>
      <x:c r="J95" s="11" t="n">
        <x:v>0.013</x:v>
      </x:c>
      <x:c r="K95" s="13" t="n">
        <x:v>28.2</x:v>
      </x:c>
      <x:c r="L95" s="13" t="n">
        <x:v>0</x:v>
      </x:c>
      <x:c r="M95" s="15" t="n">
        <x:f>IF(I95=0,0,(K95+L95)/I95)</x:f>
        <x:v>1.41</x:v>
      </x:c>
      <x:c r="N95" s="13" t="n">
        <x:v>189.6</x:v>
      </x:c>
      <x:c r="O95" s="11" t="n">
        <x:v>0.32</x:v>
      </x:c>
      <x:c r="P95" s="11" t="n">
        <x:v>0.47</x:v>
      </x:c>
      <x:c r="Q95" s="13" t="n">
        <x:v>1.76</x:v>
      </x:c>
      <x:c r="R95" s="13" t="n">
        <x:v>40.8</x:v>
      </x:c>
      <x:c r="S95" s="13" t="n">
        <x:f>IF(OR(E95&lt;&gt;"Active",Q95=0),"-",R95/Q95)</x:f>
        <x:v>23.18181818181818</x:v>
      </x:c>
      <x:c r="T95" s="17" t="n">
        <x:v>1545</x:v>
      </x:c>
    </x:row>
    <x:row r="96" ht="24" customHeight="1">
      <x:c r="A96" s="3" t="str">
        <x:v>Uplandreach</x:v>
      </x:c>
      <x:c r="B96" s="3" t="str">
        <x:v>Data &amp; Analytics</x:v>
      </x:c>
      <x:c r="C96" s="3" t="str">
        <x:v>Fund I</x:v>
      </x:c>
      <x:c r="D96" s="3" t="str">
        <x:v>Series A</x:v>
      </x:c>
      <x:c r="E96" s="3" t="str">
        <x:v>Active</x:v>
      </x:c>
      <x:c r="F96" s="8" t="n">
        <x:v>44153</x:v>
      </x:c>
      <x:c r="G96" s="8" t="n">
        <x:v>44564</x:v>
      </x:c>
      <x:c r="H96" s="12" t="n">
        <x:v>17.4</x:v>
      </x:c>
      <x:c r="I96" s="12" t="n">
        <x:v>2.7</x:v>
      </x:c>
      <x:c r="J96" s="10" t="n">
        <x:v>0.121</x:v>
      </x:c>
      <x:c r="K96" s="12" t="n">
        <x:v>2.1</x:v>
      </x:c>
      <x:c r="L96" s="12" t="n">
        <x:v>0</x:v>
      </x:c>
      <x:c r="M96" s="14" t="n">
        <x:f>IF(I96=0,0,(K96+L96)/I96)</x:f>
        <x:v>0.7777777777777778</x:v>
      </x:c>
      <x:c r="N96" s="12" t="n">
        <x:v>2.8</x:v>
      </x:c>
      <x:c r="O96" s="10" t="n">
        <x:v>1.99</x:v>
      </x:c>
      <x:c r="P96" s="10" t="n">
        <x:v>0.76</x:v>
      </x:c>
      <x:c r="Q96" s="12" t="n">
        <x:v>0.53</x:v>
      </x:c>
      <x:c r="R96" s="12" t="n">
        <x:v>11.1</x:v>
      </x:c>
      <x:c r="S96" s="12" t="n">
        <x:f>IF(OR(E96&lt;&gt;"Active",Q96=0),"-",R96/Q96)</x:f>
        <x:v>20.943396226415093</x:v>
      </x:c>
      <x:c r="T96" s="16" t="n">
        <x:v>64</x:v>
      </x:c>
    </x:row>
    <x:row r="97" ht="24" customHeight="1">
      <x:c r="A97" s="7" t="str">
        <x:v>Ventabrook</x:v>
      </x:c>
      <x:c r="B97" s="7" t="str">
        <x:v>Developer Tools</x:v>
      </x:c>
      <x:c r="C97" s="7" t="str">
        <x:v>Fund III</x:v>
      </x:c>
      <x:c r="D97" s="7" t="str">
        <x:v>Seed</x:v>
      </x:c>
      <x:c r="E97" s="7" t="str">
        <x:v>Active</x:v>
      </x:c>
      <x:c r="F97" s="9" t="n">
        <x:v>45982</x:v>
      </x:c>
      <x:c r="G97" s="9" t="n">
        <x:v>45982</x:v>
      </x:c>
      <x:c r="H97" s="13" t="n">
        <x:v>22.1</x:v>
      </x:c>
      <x:c r="I97" s="13" t="n">
        <x:v>2.1</x:v>
      </x:c>
      <x:c r="J97" s="11" t="n">
        <x:v>0.103</x:v>
      </x:c>
      <x:c r="K97" s="13" t="n">
        <x:v>2.3</x:v>
      </x:c>
      <x:c r="L97" s="13" t="n">
        <x:v>0</x:v>
      </x:c>
      <x:c r="M97" s="15" t="n">
        <x:f>IF(I97=0,0,(K97+L97)/I97)</x:f>
        <x:v>1.0952380952380951</x:v>
      </x:c>
      <x:c r="N97" s="13" t="n">
        <x:v>1.3</x:v>
      </x:c>
      <x:c r="O97" s="11" t="n">
        <x:v>1.67</x:v>
      </x:c>
      <x:c r="P97" s="11" t="n">
        <x:v>0.76</x:v>
      </x:c>
      <x:c r="Q97" s="13" t="n">
        <x:v>0.16</x:v>
      </x:c>
      <x:c r="R97" s="13" t="n">
        <x:v>5.1</x:v>
      </x:c>
      <x:c r="S97" s="13" t="n">
        <x:f>IF(OR(E97&lt;&gt;"Active",Q97=0),"-",R97/Q97)</x:f>
        <x:v>31.874999999999996</x:v>
      </x:c>
      <x:c r="T97" s="17" t="n">
        <x:v>21</x:v>
      </x:c>
    </x:row>
    <x:row r="98" ht="24" customHeight="1">
      <x:c r="A98" s="3" t="str">
        <x:v>Wildebrook</x:v>
      </x:c>
      <x:c r="B98" s="3" t="str">
        <x:v>Enterprise SaaS</x:v>
      </x:c>
      <x:c r="C98" s="3" t="str">
        <x:v>Fund II</x:v>
      </x:c>
      <x:c r="D98" s="3" t="str">
        <x:v>Series A</x:v>
      </x:c>
      <x:c r="E98" s="3" t="str">
        <x:v>Active</x:v>
      </x:c>
      <x:c r="F98" s="8" t="n">
        <x:v>44637</x:v>
      </x:c>
      <x:c r="G98" s="8" t="n">
        <x:v>45923</x:v>
      </x:c>
      <x:c r="H98" s="12" t="n">
        <x:v>54.6</x:v>
      </x:c>
      <x:c r="I98" s="12" t="n">
        <x:v>3.7</x:v>
      </x:c>
      <x:c r="J98" s="10" t="n">
        <x:v>0.135</x:v>
      </x:c>
      <x:c r="K98" s="12" t="n">
        <x:v>7.4</x:v>
      </x:c>
      <x:c r="L98" s="12" t="n">
        <x:v>0</x:v>
      </x:c>
      <x:c r="M98" s="14" t="n">
        <x:f>IF(I98=0,0,(K98+L98)/I98)</x:f>
        <x:v>2</x:v>
      </x:c>
      <x:c r="N98" s="12" t="n">
        <x:v>1.2</x:v>
      </x:c>
      <x:c r="O98" s="10" t="n">
        <x:v>1.99</x:v>
      </x:c>
      <x:c r="P98" s="10" t="n">
        <x:v>0.77</x:v>
      </x:c>
      <x:c r="Q98" s="12" t="n">
        <x:v>0.3</x:v>
      </x:c>
      <x:c r="R98" s="12" t="n">
        <x:v>6.8</x:v>
      </x:c>
      <x:c r="S98" s="12" t="n">
        <x:f>IF(OR(E98&lt;&gt;"Active",Q98=0),"-",R98/Q98)</x:f>
        <x:v>22.666666666666668</x:v>
      </x:c>
      <x:c r="T98" s="16" t="n">
        <x:v>54</x:v>
      </x:c>
    </x:row>
    <x:row r="99" ht="24" customHeight="1">
      <x:c r="A99" s="7" t="str">
        <x:v>Zerocrest</x:v>
      </x:c>
      <x:c r="B99" s="7" t="str">
        <x:v>AI/ML</x:v>
      </x:c>
      <x:c r="C99" s="7" t="str">
        <x:v>Fund III</x:v>
      </x:c>
      <x:c r="D99" s="7" t="str">
        <x:v>Seed</x:v>
      </x:c>
      <x:c r="E99" s="7" t="str">
        <x:v>Shut Down</x:v>
      </x:c>
      <x:c r="F99" s="9" t="n">
        <x:v>45506</x:v>
      </x:c>
      <x:c r="G99" s="9" t="n">
        <x:v>45506</x:v>
      </x:c>
      <x:c r="H99" s="13" t="n">
        <x:v>12.1</x:v>
      </x:c>
      <x:c r="I99" s="13" t="n">
        <x:v>0.7</x:v>
      </x:c>
      <x:c r="J99" s="11" t="n">
        <x:v>0.082</x:v>
      </x:c>
      <x:c r="K99" s="13" t="n">
        <x:v>0</x:v>
      </x:c>
      <x:c r="L99" s="13" t="n">
        <x:v>0</x:v>
      </x:c>
      <x:c r="M99" s="15" t="n">
        <x:f>IF(I99=0,0,(K99+L99)/I99)</x:f>
        <x:v>0</x:v>
      </x:c>
      <x:c r="N99" s="13"/>
      <x:c r="O99" s="11"/>
      <x:c r="P99" s="11"/>
      <x:c r="Q99" s="13"/>
      <x:c r="R99" s="13"/>
      <x:c r="S99" s="13" t="str">
        <x:f>IF(OR(E99&lt;&gt;"Active",Q99=0),"-",R99/Q99)</x:f>
        <x:v>-</x:v>
      </x:c>
      <x:c r="T99" s="17"/>
    </x:row>
  </x:sheetData>
  <x:pageMargins left="0.7" right="0.7" top="0.75" bottom="0.75" header="0.3" footer="0.3"/>
  <x:legacyDrawing xmlns:r="http://schemas.openxmlformats.org/officeDocument/2006/relationships" r:id="Reea86ba4a80e40c3"/>
  <x:tableParts count="1">
    <x:tablePart xmlns:r="http://schemas.openxmlformats.org/officeDocument/2006/relationships" r:id="R8fa6fc5b36664f2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5" hidden="0" customWidth="1"/>
    <x:col min="4" max="4" width="46" hidden="0" customWidth="1"/>
    <x:col min="5" max="5" width="21" hidden="0" customWidth="1"/>
    <x:col min="6" max="6" width="18" hidden="0" customWidth="1"/>
    <x:col min="7" max="7" width="21" hidden="0" customWidth="1"/>
    <x:col min="8" max="8" width="20" hidden="0" customWidth="1"/>
    <x:col min="9" max="9" width="105" hidden="0" customWidth="1"/>
  </x:cols>
  <x:sheetData>
    <x:row r="1" ht="44" customHeight="1">
      <x:c r="A1" s="6" t="str">
        <x:v>Date</x:v>
      </x:c>
      <x:c r="B1" s="6" t="str">
        <x:v>Company</x:v>
      </x:c>
      <x:c r="C1" s="6" t="str">
        <x:v>Event</x:v>
      </x:c>
      <x:c r="D1" s="6" t="str">
        <x:v>Detail</x:v>
      </x:c>
      <x:c r="E1" s="6" t="str">
        <x:v>Post-Money / Deal Value ($M)</x:v>
      </x:c>
      <x:c r="F1" s="6" t="str">
        <x:v>HC Investment ($M)</x:v>
      </x:c>
      <x:c r="G1" s="6" t="str">
        <x:v>HC Ownership After (FD %)</x:v>
      </x:c>
      <x:c r="H1" s="6" t="str">
        <x:v>Proceeds to HC ($M)</x:v>
      </x:c>
      <x:c r="I1" s="6" t="str">
        <x:v>Notes</x:v>
      </x:c>
    </x:row>
    <x:row r="2" ht="100" customHeight="1">
      <x:c r="A2" s="8" t="n">
        <x:v>46113</x:v>
      </x:c>
      <x:c r="B2" s="3" t="str">
        <x:v>Loamfield Robotics</x:v>
      </x:c>
      <x:c r="C2" s="3" t="str">
        <x:v>Priced Equity Round</x:v>
      </x:c>
      <x:c r="D2" s="3" t="str">
        <x:v>Seed</x:v>
      </x:c>
      <x:c r="E2" s="18" t="n">
        <x:v>15.3</x:v>
      </x:c>
      <x:c r="F2" s="18" t="n">
        <x:v>1.5</x:v>
      </x:c>
      <x:c r="G2" s="10" t="n">
        <x:v>0.072</x:v>
      </x:c>
      <x:c r="H2" s="18"/>
      <x:c r="I2" s="3" t="str">
        <x:v>Initial HC investment; company absent from opening holdings. Fund III; sector Data &amp; Analytics. Supplied cost differs from post-money x FD ownership: mixed security rights / transaction allocation require review. Fixture assumes reviewer supports source closing mark; do not force cost to equal fair value.</x:v>
      </x:c>
    </x:row>
    <x:row r="3" ht="100" customHeight="1">
      <x:c r="A3" s="9" t="n">
        <x:v>46122</x:v>
      </x:c>
      <x:c r="B3" s="7" t="str">
        <x:v>Tidewell Health</x:v>
      </x:c>
      <x:c r="C3" s="7" t="str">
        <x:v>Convertible Note</x:v>
      </x:c>
      <x:c r="D3" s="7" t="str">
        <x:v>HC bridge note principal $0.2M</x:v>
      </x:c>
      <x:c r="E3" s="19"/>
      <x:c r="F3" s="19" t="n">
        <x:v>0.2</x:v>
      </x:c>
      <x:c r="G3" s="11"/>
      <x:c r="H3" s="19"/>
      <x:c r="I3" s="7" t="str">
        <x:v>0% interest; $12M conversion cap and 20% conversion discount. Matures 2027-04-10; converts at next priced round. Cap is not a company mark.</x:v>
      </x:c>
    </x:row>
    <x:row r="4" ht="100" customHeight="1">
      <x:c r="A4" s="8" t="n">
        <x:v>46125</x:v>
      </x:c>
      <x:c r="B4" s="3" t="str">
        <x:v>Harrowgate Bio</x:v>
      </x:c>
      <x:c r="C4" s="3" t="str">
        <x:v>Priced Equity Round</x:v>
      </x:c>
      <x:c r="D4" s="3" t="str">
        <x:v>Series A</x:v>
      </x:c>
      <x:c r="E4" s="18" t="n">
        <x:v>86.9</x:v>
      </x:c>
      <x:c r="F4" s="18" t="n">
        <x:v>5.4</x:v>
      </x:c>
      <x:c r="G4" s="10" t="n">
        <x:v>0.07</x:v>
      </x:c>
      <x:c r="H4" s="18"/>
      <x:c r="I4" s="3" t="str">
        <x:v>Initial HC investment; company absent from opening holdings. Fund III; sector Infrastructure. Supplied cost differs from post-money x FD ownership: mixed security rights / transaction allocation require review. Fixture assumes reviewer supports source closing mark; do not force cost to equal fair value.</x:v>
      </x:c>
    </x:row>
    <x:row r="5" ht="100" customHeight="1">
      <x:c r="A5" s="9" t="n">
        <x:v>46127</x:v>
      </x:c>
      <x:c r="B5" s="7" t="str">
        <x:v>Drayvenn</x:v>
      </x:c>
      <x:c r="C5" s="7" t="str">
        <x:v>Stock Split</x:v>
      </x:c>
      <x:c r="D5" s="7" t="str">
        <x:v>Two-for-one split of every share class</x:v>
      </x:c>
      <x:c r="E5" s="19"/>
      <x:c r="F5" s="19"/>
      <x:c r="G5" s="11" t="n">
        <x:v>0.034</x:v>
      </x:c>
      <x:c r="H5" s="19"/>
      <x:c r="I5" s="7" t="str">
        <x:v>All share counts double and per-share prices halve. No new cash, dilution or economic value change. Remains private at June 30; IPO occurs in Q3, not Q2.</x:v>
      </x:c>
    </x:row>
    <x:row r="6" ht="100" customHeight="1">
      <x:c r="A6" s="8" t="n">
        <x:v>46132</x:v>
      </x:c>
      <x:c r="B6" s="3" t="str">
        <x:v>Kolvani Health</x:v>
      </x:c>
      <x:c r="C6" s="3" t="str">
        <x:v>Escrow Release</x:v>
      </x:c>
      <x:c r="D6" s="3" t="str">
        <x:v>Final escrow distribution after prior acquisition</x:v>
      </x:c>
      <x:c r="E6" s="18"/>
      <x:c r="F6" s="18"/>
      <x:c r="G6" s="10"/>
      <x:c r="H6" s="18" t="n">
        <x:v>0.9</x:v>
      </x:c>
      <x:c r="I6" s="3" t="str">
        <x:v>Acquired before opening date; opening proceeds $15.0M, remaining contingent claim carried at zero. $0.9M released and received now; no residual claim. Historical 7.1% ownership retained in source reporting only; no live holding.</x:v>
      </x:c>
    </x:row>
    <x:row r="7" ht="100" customHeight="1">
      <x:c r="A7" s="9" t="n">
        <x:v>46140</x:v>
      </x:c>
      <x:c r="B7" s="7" t="str">
        <x:v>Halcyra</x:v>
      </x:c>
      <x:c r="C7" s="7" t="str">
        <x:v>Term Sheet Signed</x:v>
      </x:c>
      <x:c r="D7" s="7" t="str">
        <x:v>Indicative Series B proposal</x:v>
      </x:c>
      <x:c r="E7" s="19" t="n">
        <x:v>45</x:v>
      </x:c>
      <x:c r="F7" s="19"/>
      <x:c r="G7" s="11"/>
      <x:c r="H7" s="19"/>
      <x:c r="I7" s="7" t="str">
        <x:v>Non-binding $45M post-money proposal; no financing close or cash received.</x:v>
      </x:c>
    </x:row>
    <x:row r="8" ht="100" customHeight="1">
      <x:c r="A8" s="8" t="n">
        <x:v>46151</x:v>
      </x:c>
      <x:c r="B8" s="3" t="str">
        <x:v>Saffronwell</x:v>
      </x:c>
      <x:c r="C8" s="3" t="str">
        <x:v>Priced Equity Round</x:v>
      </x:c>
      <x:c r="D8" s="3" t="str">
        <x:v>Series A (recap)</x:v>
      </x:c>
      <x:c r="E8" s="18" t="n">
        <x:v>15.6</x:v>
      </x:c>
      <x:c r="F8" s="18" t="n">
        <x:v>0.4</x:v>
      </x:c>
      <x:c r="G8" s="10" t="n">
        <x:v>0.073</x:v>
      </x:c>
      <x:c r="H8" s="18"/>
      <x:c r="I8" s="3" t="str">
        <x:v>Insider-led $3.0M rescue financing; pay-to-play provisions and preference reset. HC invests $0.4M. Supplied final ownership 7.3%; reviewer must confirm the recap waterfall before accepting mark.</x:v>
      </x:c>
    </x:row>
    <x:row r="9" ht="100" customHeight="1">
      <x:c r="A9" s="9" t="n">
        <x:v>46157</x:v>
      </x:c>
      <x:c r="B9" s="7" t="str">
        <x:v>Umberly</x:v>
      </x:c>
      <x:c r="C9" s="7" t="str">
        <x:v>Debt Facility</x:v>
      </x:c>
      <x:c r="D9" s="7" t="str">
        <x:v>Undrawn revolving facility signed</x:v>
      </x:c>
      <x:c r="E9" s="19"/>
      <x:c r="F9" s="19"/>
      <x:c r="G9" s="11"/>
      <x:c r="H9" s="19"/>
      <x:c r="I9" s="7" t="str">
        <x:v>$5M facility signed but no draw by June 30; covenant conditions remain. No HC investment or new shares. Do not add undrawn commitment to reported cash or runway; latest round unchanged.</x:v>
      </x:c>
    </x:row>
    <x:row r="10" ht="100" customHeight="1">
      <x:c r="A10" s="8" t="n">
        <x:v>46168</x:v>
      </x:c>
      <x:c r="B10" s="3" t="str">
        <x:v>Saltmarsh Analytics</x:v>
      </x:c>
      <x:c r="C10" s="3" t="str">
        <x:v>Priced Equity Round</x:v>
      </x:c>
      <x:c r="D10" s="3" t="str">
        <x:v>Series A</x:v>
      </x:c>
      <x:c r="E10" s="18" t="n">
        <x:v>87.7</x:v>
      </x:c>
      <x:c r="F10" s="18" t="n">
        <x:v>1</x:v>
      </x:c>
      <x:c r="G10" s="10" t="n">
        <x:v>0.062</x:v>
      </x:c>
      <x:c r="H10" s="18"/>
      <x:c r="I10" s="3" t="str">
        <x:v>External-led $28.5346667M round; pre-money $59.1653333M. HC subscribes below pro rata: (7.5% x 59.1653333 + 1.0) / 87.7 = 6.2%. Equivalent economics assumed; round implied mark to $0.1M for source reconciliation.</x:v>
      </x:c>
    </x:row>
    <x:row r="11" ht="100" customHeight="1">
      <x:c r="A11" s="9" t="n">
        <x:v>46173</x:v>
      </x:c>
      <x:c r="B11" s="7" t="str">
        <x:v>Everbrook Analytics</x:v>
      </x:c>
      <x:c r="C11" s="7" t="str">
        <x:v>Shutdown</x:v>
      </x:c>
      <x:c r="D11" s="7" t="str">
        <x:v>Ceased operations; no recovery</x:v>
      </x:c>
      <x:c r="E11" s="19"/>
      <x:c r="F11" s="19"/>
      <x:c r="G11" s="11"/>
      <x:c r="H11" s="19" t="n">
        <x:v>0</x:v>
      </x:c>
      <x:c r="I11" s="7" t="str">
        <x:v>Board liquidation completed; creditors exhaust available cash. No proceeds or residual claims. Clear operating metrics; retain historical investment cost and ownership for reporting.</x:v>
      </x:c>
    </x:row>
    <x:row r="12" ht="100" customHeight="1">
      <x:c r="A12" s="8" t="n">
        <x:v>46182</x:v>
      </x:c>
      <x:c r="B12" s="3" t="str">
        <x:v>Palefire Labs</x:v>
      </x:c>
      <x:c r="C12" s="3" t="str">
        <x:v>Priced Equity Round</x:v>
      </x:c>
      <x:c r="D12" s="3" t="str">
        <x:v>Series A</x:v>
      </x:c>
      <x:c r="E12" s="18" t="n">
        <x:v>54.3</x:v>
      </x:c>
      <x:c r="F12" s="18" t="n">
        <x:v>1.2</x:v>
      </x:c>
      <x:c r="G12" s="10" t="n">
        <x:v>0.12</x:v>
      </x:c>
      <x:c r="H12" s="18"/>
      <x:c r="I12" s="3" t="str">
        <x:v>External-led $10.0M round; pre-money $44.3M. HC pays exactly 12% of the round and preserves 12% ownership.</x:v>
      </x:c>
    </x:row>
    <x:row r="13" ht="100" customHeight="1">
      <x:c r="A13" s="9" t="n">
        <x:v>46184</x:v>
      </x:c>
      <x:c r="B13" s="7" t="str">
        <x:v>Quillshade</x:v>
      </x:c>
      <x:c r="C13" s="7" t="str">
        <x:v>Priced Equity Round</x:v>
      </x:c>
      <x:c r="D13" s="7" t="str">
        <x:v>Series A</x:v>
      </x:c>
      <x:c r="E13" s="19" t="n">
        <x:v>66.1</x:v>
      </x:c>
      <x:c r="F13" s="19" t="n">
        <x:v>1.5</x:v>
      </x:c>
      <x:c r="G13" s="11" t="n">
        <x:v>0.135</x:v>
      </x:c>
      <x:c r="H13" s="19"/>
      <x:c r="I13" s="7" t="str">
        <x:v>Primary raise $10.0M at $56.1M pre-money plus HC purchase of existing shares. Of HC $1.5M total, $0.4M is primary and $1.1M is secondary. Same share price and equivalent rights on both legs; final FD ownership 13.5%: (opening ownership x 56.1 + 0.4 + 1.1) / 66.1. No HC sale proceeds. Separate primary/secondary terms require review; do not add a second investment row.</x:v>
      </x:c>
    </x:row>
    <x:row r="14" ht="100" customHeight="1">
      <x:c r="A14" s="8" t="n">
        <x:v>46185</x:v>
      </x:c>
      <x:c r="B14" s="3" t="str">
        <x:v>Brumewell</x:v>
      </x:c>
      <x:c r="C14" s="3" t="str">
        <x:v>Operating Update</x:v>
      </x:c>
      <x:c r="D14" s="3" t="str">
        <x:v>Revenue contraction confirmed</x:v>
      </x:c>
      <x:c r="E14" s="18"/>
      <x:c r="F14" s="18"/>
      <x:c r="G14" s="10"/>
      <x:c r="H14" s="18"/>
      <x:c r="I14" s="3" t="str">
        <x:v>June reporting: ARR $12.0M, YoY growth -21%, gross margin 59%, cash $47.2M, burn $1.88M/month, headcount 195. Reviewer must assess mark support; fixture closing decision retains 18.5 using contracted pipeline evidence.</x:v>
      </x:c>
    </x:row>
    <x:row r="15" ht="100" customHeight="1">
      <x:c r="A15" s="9" t="n">
        <x:v>46187</x:v>
      </x:c>
      <x:c r="B15" s="7" t="str">
        <x:v>Tidewell Health</x:v>
      </x:c>
      <x:c r="C15" s="7" t="str">
        <x:v>Priced Equity Round</x:v>
      </x:c>
      <x:c r="D15" s="7" t="str">
        <x:v>Seed extension; note converts</x:v>
      </x:c>
      <x:c r="E15" s="19" t="n">
        <x:v>13.9</x:v>
      </x:c>
      <x:c r="F15" s="19" t="n">
        <x:v>0</x:v>
      </x:c>
      <x:c r="G15" s="11" t="n">
        <x:v>0.087</x:v>
      </x:c>
      <x:c r="H15" s="19"/>
      <x:c r="I15" s="7" t="str">
        <x:v>HC $0.2M note issued April 10 converts fully; no new HC cash at conversion. Final cap table confirms 8.7% FD. Other investors fund the round; rights and conversion schedule require review. Prior note must be derecognized when valuing final equity.</x:v>
      </x:c>
    </x:row>
    <x:row r="16" ht="100" customHeight="1">
      <x:c r="A16" s="8" t="n">
        <x:v>46191</x:v>
      </x:c>
      <x:c r="B16" s="3" t="str">
        <x:v>Halcyra</x:v>
      </x:c>
      <x:c r="C16" s="3" t="str">
        <x:v>Term Sheet Withdrawn</x:v>
      </x:c>
      <x:c r="D16" s="3" t="str">
        <x:v>April proposal withdrawn</x:v>
      </x:c>
      <x:c r="E16" s="18"/>
      <x:c r="F16" s="18"/>
      <x:c r="G16" s="10"/>
      <x:c r="H16" s="18"/>
      <x:c r="I16" s="3" t="str">
        <x:v>Investor withdrew before diligence completed. No fee, proceeds, new shares or financing. Review adverse signal; fixture reviewer supports carry at 2.7 after updated forecast review.</x:v>
      </x:c>
    </x:row>
    <x:row r="17" ht="100" customHeight="1">
      <x:c r="A17" s="9" t="n">
        <x:v>46195</x:v>
      </x:c>
      <x:c r="B17" s="7" t="str">
        <x:v>Hearthwick</x:v>
      </x:c>
      <x:c r="C17" s="7" t="str">
        <x:v>Priced Equity Round</x:v>
      </x:c>
      <x:c r="D17" s="7" t="str">
        <x:v>Seed extension</x:v>
      </x:c>
      <x:c r="E17" s="19" t="n">
        <x:v>8.9</x:v>
      </x:c>
      <x:c r="F17" s="19" t="n">
        <x:v>0.1</x:v>
      </x:c>
      <x:c r="G17" s="11" t="n">
        <x:v>0.084</x:v>
      </x:c>
      <x:c r="H17" s="19"/>
      <x:c r="I17" s="7" t="str">
        <x:v>Small external extension ahead of acquisition. HC cumulative invested rises from $0.6M to $0.7M. Updated FD ownership 8.4%.</x:v>
      </x:c>
    </x:row>
    <x:row r="18" ht="100" customHeight="1">
      <x:c r="A18" s="8" t="n">
        <x:v>46198</x:v>
      </x:c>
      <x:c r="B18" s="3" t="str">
        <x:v>Hearthwick</x:v>
      </x:c>
      <x:c r="C18" s="3" t="str">
        <x:v>Acquisition (Closed)</x:v>
      </x:c>
      <x:c r="D18" s="3" t="str">
        <x:v>Cash acquisition with short escrow</x:v>
      </x:c>
      <x:c r="E18" s="18" t="n">
        <x:v>14.285714285714286</x:v>
      </x:c>
      <x:c r="F18" s="18"/>
      <x:c r="G18" s="10"/>
      <x:c r="H18" s="18" t="n">
        <x:v>1</x:v>
      </x:c>
      <x:c r="I18" s="3" t="str">
        <x:v>HC total contractual entitlement $1.2M: $1.0M cash now and $0.2M escrow. Track residual claim until its release; do not recognize $1.2M as received on this date.</x:v>
      </x:c>
    </x:row>
    <x:row r="19" ht="100" customHeight="1">
      <x:c r="A19" s="9" t="n">
        <x:v>46203</x:v>
      </x:c>
      <x:c r="B19" s="7" t="str">
        <x:v>Hearthwick</x:v>
      </x:c>
      <x:c r="C19" s="7" t="str">
        <x:v>Escrow Release</x:v>
      </x:c>
      <x:c r="D19" s="7" t="str">
        <x:v>Remaining acquisition escrow paid</x:v>
      </x:c>
      <x:c r="E19" s="19"/>
      <x:c r="F19" s="19"/>
      <x:c r="G19" s="11"/>
      <x:c r="H19" s="19" t="n">
        <x:v>0.2</x:v>
      </x:c>
      <x:c r="I19" s="7" t="str">
        <x:v>Final $0.2M received June 30. No remaining equity, escrow or contingent claim. Cumulative proceeds $1.2M; source retains historical FD ownership 8.4%.</x:v>
      </x:c>
    </x:row>
    <x:row r="20" ht="100" customHeight="1">
      <x:c r="A20" s="8" t="n">
        <x:v>46203</x:v>
      </x:c>
      <x:c r="B20" s="3" t="str">
        <x:v>Gryphonel</x:v>
      </x:c>
      <x:c r="C20" s="3" t="str">
        <x:v>Acquisition (Announced)</x:v>
      </x:c>
      <x:c r="D20" s="3" t="str">
        <x:v>Non-binding acquisition letter of intent</x:v>
      </x:c>
      <x:c r="E20" s="18" t="n">
        <x:v>120</x:v>
      </x:c>
      <x:c r="F20" s="18"/>
      <x:c r="G20" s="10"/>
      <x:c r="H20" s="18"/>
      <x:c r="I20" s="3" t="str">
        <x:v>Non-binding LOI only; diligence and regulatory review outstanding. No cash or signed definitive agreement at June 30. Reviewer retains 3.5 because execution uncertainty is material. Q3 definitive agreement is a separate later event.</x:v>
      </x:c>
    </x:row>
  </x:sheetData>
  <x:pageMargins left="0.7" right="0.7" top="0.75" bottom="0.75" header="0.3" footer="0.3"/>
  <x:tableParts count="1">
    <x:tablePart xmlns:r="http://schemas.openxmlformats.org/officeDocument/2006/relationships" r:id="Refe215f69dfd44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5" hidden="0" customWidth="1"/>
  </x:cols>
  <x:sheetData>
    <x:row r="1" ht="44" customHeight="1">
      <x:c r="A1" s="6" t="str">
        <x:v>Field</x:v>
      </x:c>
      <x:c r="B1" s="6" t="str">
        <x:v>Definition</x:v>
      </x:c>
    </x:row>
    <x:row r="2" ht="48" customHeight="1">
      <x:c r="A2" s="3" t="str">
        <x:v>PORTFOLIO TAB</x:v>
      </x:c>
      <x:c r="B2" s="3"/>
    </x:row>
    <x:row r="3" ht="48" customHeight="1">
      <x:c r="A3" s="7" t="str">
        <x:v>Company</x:v>
      </x:c>
      <x:c r="B3" s="7" t="str">
        <x:v>Fictional portfolio company. Every name in this workbook is invented for this exercise.</x:v>
      </x:c>
    </x:row>
    <x:row r="4" ht="48" customHeight="1">
      <x:c r="A4" s="3" t="str">
        <x:v>Sector</x:v>
      </x:c>
      <x:c r="B4" s="3" t="str">
        <x:v>Primary sector classification.</x:v>
      </x:c>
    </x:row>
    <x:row r="5" ht="48" customHeight="1">
      <x:c r="A5" s="7" t="str">
        <x:v>Fund</x:v>
      </x:c>
      <x:c r="B5" s="7" t="str">
        <x:v>Synthetic fund vehicle that holds the investment (Fund I, Fund II, Fund III).</x:v>
      </x:c>
    </x:row>
    <x:row r="6" ht="48" customHeight="1">
      <x:c r="A6" s="3" t="str">
        <x:v>Stage</x:v>
      </x:c>
      <x:c r="B6" s="3" t="str">
        <x:v>Most recent priced round as of March 31, 2026.</x:v>
      </x:c>
    </x:row>
    <x:row r="7" ht="48" customHeight="1">
      <x:c r="A7" s="7" t="str">
        <x:v>Status</x:v>
      </x:c>
      <x:c r="B7" s="7" t="str">
        <x:v>Active, Acquired, or Shut Down as of March 31, 2026. Operating metrics are blank for non-active companies.</x:v>
      </x:c>
    </x:row>
    <x:row r="8" ht="48" customHeight="1">
      <x:c r="A8" s="3" t="str">
        <x:v>First Investment</x:v>
      </x:c>
      <x:c r="B8" s="3" t="str">
        <x:v>Date of the fund's initial investment.</x:v>
      </x:c>
    </x:row>
    <x:row r="9" ht="48" customHeight="1">
      <x:c r="A9" s="7" t="str">
        <x:v>Latest Round</x:v>
      </x:c>
      <x:c r="B9" s="7" t="str">
        <x:v>Date of the most recent priced round as of March 31, 2026.</x:v>
      </x:c>
    </x:row>
    <x:row r="10" ht="48" customHeight="1">
      <x:c r="A10" s="3" t="str">
        <x:v>Latest Post-Money ($M)</x:v>
      </x:c>
      <x:c r="B10" s="3" t="str">
        <x:v>Post-money valuation of that round, USD millions.</x:v>
      </x:c>
    </x:row>
    <x:row r="11" ht="48" customHeight="1">
      <x:c r="A11" s="7" t="str">
        <x:v>Invested ($M)</x:v>
      </x:c>
      <x:c r="B11" s="7" t="str">
        <x:v>Total invested capital as of March 31, 2026, USD millions.</x:v>
      </x:c>
    </x:row>
    <x:row r="12" ht="48" customHeight="1">
      <x:c r="A12" s="3" t="str">
        <x:v>Ownership (FD %)</x:v>
      </x:c>
      <x:c r="B12" s="3" t="str">
        <x:v>Fully diluted ownership as of March 31, 2026.</x:v>
      </x:c>
    </x:row>
    <x:row r="13" ht="48" customHeight="1">
      <x:c r="A13" s="7" t="str">
        <x:v>Prior Mark ($M)</x:v>
      </x:c>
      <x:c r="B13" s="7" t="str">
        <x:v>Carrying fair value at the March 31, 2026 close: Ownership x Latest Post-Money.</x:v>
      </x:c>
    </x:row>
    <x:row r="14" ht="48" customHeight="1">
      <x:c r="A14" s="3" t="str">
        <x:v>Realized ($M)</x:v>
      </x:c>
      <x:c r="B14" s="3" t="str">
        <x:v>Cumulative proceeds returned from exits as of March 31, 2026.</x:v>
      </x:c>
    </x:row>
    <x:row r="15" ht="48" customHeight="1">
      <x:c r="A15" s="7" t="str">
        <x:v>MOIC (x)</x:v>
      </x:c>
      <x:c r="B15" s="7" t="str">
        <x:v>Live formula: (Prior Mark + Realized) / Invested.</x:v>
      </x:c>
    </x:row>
    <x:row r="16" ht="48" customHeight="1">
      <x:c r="A16" s="3" t="str">
        <x:v>ARR ($M)</x:v>
      </x:c>
      <x:c r="B16" s="3" t="str">
        <x:v>Annual recurring revenue (annualized revenue for non-SaaS), USD millions. Blank if pre-revenue or inactive.</x:v>
      </x:c>
    </x:row>
    <x:row r="17" ht="48" customHeight="1">
      <x:c r="A17" s="7" t="str">
        <x:v>ARR Growth (YoY %)</x:v>
      </x:c>
      <x:c r="B17" s="7" t="str">
        <x:v>Year-over-year ARR growth. Blank when the prior-year base is too small to be meaningful.</x:v>
      </x:c>
    </x:row>
    <x:row r="18" ht="48" customHeight="1">
      <x:c r="A18" s="3" t="str">
        <x:v>Gross Margin (%)</x:v>
      </x:c>
      <x:c r="B18" s="3" t="str">
        <x:v>Blended gross margin.</x:v>
      </x:c>
    </x:row>
    <x:row r="19" ht="48" customHeight="1">
      <x:c r="A19" s="7" t="str">
        <x:v>Net Burn ($M/mo)</x:v>
      </x:c>
      <x:c r="B19" s="7" t="str">
        <x:v>Average net cash burn per month. Zero means cash-flow breakeven.</x:v>
      </x:c>
    </x:row>
    <x:row r="20" ht="48" customHeight="1">
      <x:c r="A20" s="3" t="str">
        <x:v>Cash ($M)</x:v>
      </x:c>
      <x:c r="B20" s="3" t="str">
        <x:v>Cash and equivalents on hand.</x:v>
      </x:c>
    </x:row>
    <x:row r="21" ht="48" customHeight="1">
      <x:c r="A21" s="7" t="str">
        <x:v>Runway (mo)</x:v>
      </x:c>
      <x:c r="B21" s="7" t="str">
        <x:v>Live formula: Cash / Net Burn. Shows "-" when burn is zero or the company is inactive.</x:v>
      </x:c>
    </x:row>
    <x:row r="22" ht="48" customHeight="1">
      <x:c r="A22" s="3" t="str">
        <x:v>Headcount</x:v>
      </x:c>
      <x:c r="B22" s="3" t="str">
        <x:v>Full-time employees.</x:v>
      </x:c>
    </x:row>
    <x:row r="23" ht="48" customHeight="1">
      <x:c r="A23" s="7"/>
      <x:c r="B23" s="7"/>
    </x:row>
    <x:row r="24" ht="48" customHeight="1">
      <x:c r="A24" s="3" t="str">
        <x:v>Q2 2026 ACTIVITY TAB</x:v>
      </x:c>
      <x:c r="B24" s="3"/>
    </x:row>
    <x:row r="25" ht="48" customHeight="1">
      <x:c r="A25" s="7" t="str">
        <x:v>Date</x:v>
      </x:c>
      <x:c r="B25" s="7" t="str">
        <x:v>Date the event occurred or was signed.</x:v>
      </x:c>
    </x:row>
    <x:row r="26" ht="48" customHeight="1">
      <x:c r="A26" s="3" t="str">
        <x:v>Event</x:v>
      </x:c>
      <x:c r="B26" s="3" t="str">
        <x:v>Priced Equity Round, Convertible Note, IPO, Acquisition (Closed), Acquisition (Announced), Shutdown, Secondary Sale, or Term Sheet Signed.</x:v>
      </x:c>
    </x:row>
    <x:row r="27" ht="48" customHeight="1">
      <x:c r="A27" s="7" t="str">
        <x:v>Detail</x:v>
      </x:c>
      <x:c r="B27" s="7" t="str">
        <x:v>Round name or a one-line description of the event.</x:v>
      </x:c>
    </x:row>
    <x:row r="28" ht="48" customHeight="1">
      <x:c r="A28" s="3" t="str">
        <x:v>Post-Money / Deal Value ($M)</x:v>
      </x:c>
      <x:c r="B28" s="3" t="str">
        <x:v>New post-money for rounds, market capitalization for the IPO, deal value for acquisitions, implied valuation for secondaries. Blank where not applicable.</x:v>
      </x:c>
    </x:row>
    <x:row r="29" ht="48" customHeight="1">
      <x:c r="A29" s="7" t="str">
        <x:v>HC Investment ($M)</x:v>
      </x:c>
      <x:c r="B29" s="7" t="str">
        <x:v>New capital HC put in as part of the event, if any.</x:v>
      </x:c>
    </x:row>
    <x:row r="30" ht="48" customHeight="1">
      <x:c r="A30" s="3" t="str">
        <x:v>HC Ownership After (FD %)</x:v>
      </x:c>
      <x:c r="B30" s="3" t="str">
        <x:v>HC's fully diluted ownership immediately after the event, where the event changes it.</x:v>
      </x:c>
    </x:row>
    <x:row r="31" ht="48" customHeight="1">
      <x:c r="A31" s="7" t="str">
        <x:v>Proceeds to HC ($M)</x:v>
      </x:c>
      <x:c r="B31" s="7" t="str">
        <x:v>Cash actually received by HC during the quarter from the event, if any.</x:v>
      </x:c>
    </x:row>
    <x:row r="32" ht="48" customHeight="1">
      <x:c r="A32" s="3" t="str">
        <x:v>Notes</x:v>
      </x:c>
      <x:c r="B32" s="3" t="str">
        <x:v>Context that may matter for treatment.</x:v>
      </x:c>
    </x:row>
    <x:row r="33" ht="48" customHeight="1">
      <x:c r="A33" s="7"/>
      <x:c r="B33" s="7"/>
    </x:row>
    <x:row r="34" ht="48" customHeight="1">
      <x:c r="A34" s="3" t="str">
        <x:v>Notes</x:v>
      </x:c>
      <x:c r="B34" s="3"/>
    </x:row>
    <x:row r="35" ht="48" customHeight="1">
      <x:c r="A35" s="7" t="str">
        <x:v>1</x:v>
      </x:c>
      <x:c r="B35" s="7" t="str">
        <x:v>Original target supplied by HC Finance; opening balances and Q2 events are newly invented synthetic test assumptions. No real company data.</x:v>
      </x:c>
    </x:row>
    <x:row r="36" ht="48" customHeight="1">
      <x:c r="A36" s="3" t="str">
        <x:v>2</x:v>
      </x:c>
      <x:c r="B36" s="3" t="str">
        <x:v>Portfolio is synthetic opening holdings at March 31, 2026. Operating metrics are scenario screening inputs held at supplied source levels (original reporting was late August); not verified historical Q2 observations. June 30 Target preserves original supplied values.</x:v>
      </x:c>
    </x:row>
    <x:row r="37" ht="48" customHeight="1">
      <x:c r="A37" s="7" t="str">
        <x:v>3</x:v>
      </x:c>
      <x:c r="B37" s="7" t="str">
        <x:v>Q2 activity covers April 1 to June 30 inclusive. New holdings Loamfield Robotics and Harrowgate Bio are absent from opening Portfolio. Extended event types intentionally test explicit handling or escalation.</x:v>
      </x:c>
    </x:row>
    <x:row r="38" ht="48" customHeight="1">
      <x:c r="A38" s="3" t="str">
        <x:v>4</x:v>
      </x:c>
      <x:c r="B38" s="3" t="str">
        <x:v>MOIC (x) and Runway (mo) are live formulas; every other cell is a hardcoded value.</x:v>
      </x:c>
    </x:row>
    <x:row r="39" ht="48" customHeight="1">
      <x:c r="A39" s="7" t="str">
        <x:v>Extended events</x:v>
      </x:c>
      <x:c r="B39" s="7" t="str">
        <x:v>Escrow Release, Stock Split, Debt Facility, Term Sheet Withdrawn, Operating Update. Unknown types must be surfaced, not silently ignored.</x:v>
      </x:c>
    </x:row>
    <x:row r="40" ht="48" customHeight="1">
      <x:c r="A40" s="3" t="str">
        <x:v>Mark precision</x:v>
      </x:c>
      <x:c r="B40" s="3" t="str">
        <x:v>Source marks are stored at $0.1M precision. Bridge displays raw values and explicit rounding separately; this is a fixture reporting convention, not a general valuation rule.</x:v>
      </x:c>
    </x:row>
    <x:row r="41" ht="48" customHeight="1">
      <x:c r="A41" s="7" t="str">
        <x:v>Ownership on exits</x:v>
      </x:c>
      <x:c r="B41" s="7" t="str">
        <x:v>Source retains historical ownership on exited companies. This does not represent an economic holding; status and remaining mark control.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44" customHeight="1">
      <x:c r="A1" s="6" t="str">
        <x:v>Q2 2026 test fixture</x:v>
      </x:c>
      <x:c r="B1" s="6" t="str">
        <x:v>How to use / important limits</x:v>
      </x:c>
    </x:row>
    <x:row r="2" ht="65" customHeight="1">
      <x:c r="A2" s="3" t="str">
        <x:v>Purpose</x:v>
      </x:c>
      <x:c r="B2" s="3" t="str">
        <x:v>Synthetic backcast from the supplied June 30 close; new opening assumptions and Q2 events are invented for testing, not historical HC activity.</x:v>
      </x:c>
    </x:row>
    <x:row r="3" ht="65" customHeight="1">
      <x:c r="A3" s="7" t="str">
        <x:v>Input tabs</x:v>
      </x:c>
      <x:c r="B3" s="7" t="str">
        <x:v>Use Portfolio (March 31 opening) and Q2 2026 Activity. Select quarter-end June 30, 2026. Headers match the source; activity tab intentionally changes quarter name.</x:v>
      </x:c>
    </x:row>
    <x:row r="4" ht="65" customHeight="1">
      <x:c r="A4" s="3" t="str">
        <x:v>Answer-key tabs</x:v>
      </x:c>
      <x:c r="B4" s="3" t="str">
        <x:v>June 30 Target, Value Bridge, Scenario Guide and Checks are reviewer references, not engine inputs. An importer must select the designated input tabs.</x:v>
      </x:c>
    </x:row>
    <x:row r="5" ht="65" customHeight="1">
      <x:c r="A5" s="7" t="str">
        <x:v>New holdings</x:v>
      </x:c>
      <x:c r="B5" s="7" t="str">
        <x:v>Opening portfolio has 98 companies. Q2 activity introduces Loamfield Robotics and Harrowgate Bio, producing the original 100-company closing universe. Metadata needed for onboarding appears in event notes and the target reference.</x:v>
      </x:c>
    </x:row>
    <x:row r="6" ht="65" customHeight="1">
      <x:c r="A6" s="3" t="str">
        <x:v>Exact tie-out scope</x:v>
      </x:c>
      <x:c r="B6" s="3" t="str">
        <x:v>Closing marks, cumulative invested capital and realized proceeds reconcile to all supplied company rows. Ownership, latest financing details and status are separately reconstructed and checked.</x:v>
      </x:c>
    </x:row>
    <x:row r="7" ht="65" customHeight="1">
      <x:c r="A7" s="7" t="str">
        <x:v>Rounding</x:v>
      </x:c>
      <x:c r="B7" s="7" t="str">
        <x:v>Priced-round values use supplied FD ownership x post-money; source marks are rounded to $0.1M. Raw results and rounding deltas are visible. Do not alter the source to force exact unrounded agreement.</x:v>
      </x:c>
    </x:row>
    <x:row r="8" ht="65" customHeight="1">
      <x:c r="A8" s="3" t="str">
        <x:v>Judgment</x:v>
      </x:c>
      <x:c r="B8" s="3" t="str">
        <x:v>Answer-key decisions are explicit synthetic reviewer assumptions, not automatic fair-value recommendations. Review-required events may produce provisional alternatives before the final target is accepted.</x:v>
      </x:c>
    </x:row>
    <x:row r="9" ht="65" customHeight="1">
      <x:c r="A9" s="7" t="str">
        <x:v>Metrics limitation</x:v>
      </x:c>
      <x:c r="B9" s="7" t="str">
        <x:v>The original source says operating metrics reflect late-August reporting. They are retained as scenario inputs, not asserted to be March/June historical observations. The file tests investment-value movement, not a historical cash-flow model.</x:v>
      </x:c>
    </x:row>
    <x:row r="10" ht="65" customHeight="1">
      <x:c r="A10" s="3" t="str">
        <x:v>New event types</x:v>
      </x:c>
      <x:c r="B10" s="3" t="str">
        <x:v>Escrow Release, Stock Split, Debt Facility, Term Sheet Withdrawn, Operating Update. A tool that does not support these should flag them for review rather than silently discard them.</x:v>
      </x:c>
    </x:row>
    <x:row r="11" ht="65" customHeight="1">
      <x:c r="A11" s="7" t="str">
        <x:v>Untouched controls</x:v>
      </x:c>
      <x:c r="B11" s="7" t="str">
        <x:v>No-activity companies retain opening marks for the bridge, but stale-round, negative-growth and runway screening still applies. Review resolution is needed where policy requires.</x:v>
      </x:c>
    </x:row>
    <x:row r="12" ht="65" customHeight="1">
      <x:c r="A12" s="3" t="str">
        <x:v>Source</x:v>
      </x:c>
      <x:c r="B12" s="3" t="str">
        <x:v>HC_Mock_Portfolio_Data (1)(2).xlsx / Portfolio. Target numeric values preserved; original workbook left untouched.</x:v>
      </x:c>
    </x:row>
    <x:row r="13" ht="65" customHeight="1">
      <x:c r="A13" s="7" t="str">
        <x:v>Compatibility</x:v>
      </x:c>
      <x:c r="B13" s="7" t="str">
        <x:v>The original app code was not supplied here. Workbook schema is preserved; no claim is made that its importer already supports Q2 tab names, additional reference tabs or new event types.</x:v>
      </x:c>
    </x:row>
    <x:row r="14" ht="65" customHeight="1">
      <x:c r="A14" s="3" t="str">
        <x:v>Color convention</x:v>
      </x:c>
      <x:c r="B14" s="3" t="str">
        <x:v>Dark headers; blue editable synthetic assumptions; green cross-sheet formulas; black local calculations/source data. All monetary amounts USD millions.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2" hidden="0" customWidth="1"/>
    <x:col min="3" max="3" width="13" hidden="0" customWidth="1"/>
    <x:col min="4" max="4" width="14" hidden="0" customWidth="1"/>
    <x:col min="5" max="5" width="15" hidden="0" customWidth="1"/>
    <x:col min="6" max="6" width="16" hidden="0" customWidth="1"/>
    <x:col min="7" max="7" width="16" hidden="0" customWidth="1"/>
    <x:col min="8" max="8" width="19" hidden="0" customWidth="1"/>
    <x:col min="9" max="9" width="16" hidden="0" customWidth="1"/>
    <x:col min="10" max="10" width="18" hidden="0" customWidth="1"/>
    <x:col min="11" max="11" width="17" hidden="0" customWidth="1"/>
    <x:col min="12" max="12" width="16" hidden="0" customWidth="1"/>
    <x:col min="13" max="13" width="13" hidden="0" customWidth="1"/>
    <x:col min="14" max="14" width="14" hidden="0" customWidth="1"/>
    <x:col min="15" max="15" width="17" hidden="0" customWidth="1"/>
    <x:col min="16" max="16" width="16" hidden="0" customWidth="1"/>
    <x:col min="17" max="17" width="18" hidden="0" customWidth="1"/>
    <x:col min="18" max="18" width="14" hidden="0" customWidth="1"/>
    <x:col min="19" max="19" width="15" hidden="0" customWidth="1"/>
    <x:col min="20" max="20" width="13" hidden="0" customWidth="1"/>
  </x:cols>
  <x:sheetData>
    <x:row r="1" ht="44" customHeight="1">
      <x:c r="A1" s="6" t="str">
        <x:v>Company</x:v>
      </x:c>
      <x:c r="B1" s="6" t="str">
        <x:v>Sector</x:v>
      </x:c>
      <x:c r="C1" s="6" t="str">
        <x:v>Fund</x:v>
      </x:c>
      <x:c r="D1" s="6" t="str">
        <x:v>Stage</x:v>
      </x:c>
      <x:c r="E1" s="6" t="str">
        <x:v>Status</x:v>
      </x:c>
      <x:c r="F1" s="6" t="str">
        <x:v>First Investment</x:v>
      </x:c>
      <x:c r="G1" s="6" t="str">
        <x:v>Latest Round</x:v>
      </x:c>
      <x:c r="H1" s="6" t="str">
        <x:v>Latest Post-Money ($M)</x:v>
      </x:c>
      <x:c r="I1" s="6" t="str">
        <x:v>Invested ($M)</x:v>
      </x:c>
      <x:c r="J1" s="6" t="str">
        <x:v>Ownership (FD %)</x:v>
      </x:c>
      <x:c r="K1" s="6" t="str">
        <x:v>Prior Mark ($M)</x:v>
      </x:c>
      <x:c r="L1" s="6" t="str">
        <x:v>Realized ($M)</x:v>
      </x:c>
      <x:c r="M1" s="6" t="str">
        <x:v>MOIC (x)</x:v>
      </x:c>
      <x:c r="N1" s="6" t="str">
        <x:v>ARR ($M)</x:v>
      </x:c>
      <x:c r="O1" s="6" t="str">
        <x:v>ARR Growth (YoY %)</x:v>
      </x:c>
      <x:c r="P1" s="6" t="str">
        <x:v>Gross Margin (%)</x:v>
      </x:c>
      <x:c r="Q1" s="6" t="str">
        <x:v>Net Burn ($M/mo)</x:v>
      </x:c>
      <x:c r="R1" s="6" t="str">
        <x:v>Cash ($M)</x:v>
      </x:c>
      <x:c r="S1" s="6" t="str">
        <x:v>Runway (mo)</x:v>
      </x:c>
      <x:c r="T1" s="6" t="str">
        <x:v>Headcount</x:v>
      </x:c>
    </x:row>
    <x:row r="2" ht="24" customHeight="1">
      <x:c r="A2" s="3" t="str">
        <x:v>Aravine</x:v>
      </x:c>
      <x:c r="B2" s="3" t="str">
        <x:v>Climate &amp; Energy</x:v>
      </x:c>
      <x:c r="C2" s="3" t="str">
        <x:v>Fund I</x:v>
      </x:c>
      <x:c r="D2" s="3" t="str">
        <x:v>Series A</x:v>
      </x:c>
      <x:c r="E2" s="3" t="str">
        <x:v>Active</x:v>
      </x:c>
      <x:c r="F2" s="8" t="n">
        <x:v>43834</x:v>
      </x:c>
      <x:c r="G2" s="8" t="n">
        <x:v>44264</x:v>
      </x:c>
      <x:c r="H2" s="12" t="n">
        <x:v>50.8</x:v>
      </x:c>
      <x:c r="I2" s="12" t="n">
        <x:v>6</x:v>
      </x:c>
      <x:c r="J2" s="10" t="n">
        <x:v>0.136</x:v>
      </x:c>
      <x:c r="K2" s="12" t="n">
        <x:v>6.9</x:v>
      </x:c>
      <x:c r="L2" s="12" t="n">
        <x:v>0</x:v>
      </x:c>
      <x:c r="M2" s="14" t="n">
        <x:f>IF(I2=0,0,(K2+L2)/I2)</x:f>
        <x:v>1.1500000000000001</x:v>
      </x:c>
      <x:c r="N2" s="12" t="n">
        <x:v>3.4</x:v>
      </x:c>
      <x:c r="O2" s="10" t="n">
        <x:v>0.83</x:v>
      </x:c>
      <x:c r="P2" s="10" t="n">
        <x:v>0.49</x:v>
      </x:c>
      <x:c r="Q2" s="12" t="n">
        <x:v>0.54</x:v>
      </x:c>
      <x:c r="R2" s="12" t="n">
        <x:v>18.1</x:v>
      </x:c>
      <x:c r="S2" s="12" t="n">
        <x:f>IF(OR(E2&lt;&gt;"Active",Q2=0),"-",R2/Q2)</x:f>
        <x:v>33.51851851851852</x:v>
      </x:c>
      <x:c r="T2" s="16" t="n">
        <x:v>28</x:v>
      </x:c>
    </x:row>
    <x:row r="3" ht="24" customHeight="1">
      <x:c r="A3" s="7" t="str">
        <x:v>Beltrix</x:v>
      </x:c>
      <x:c r="B3" s="7" t="str">
        <x:v>Fintech</x:v>
      </x:c>
      <x:c r="C3" s="7" t="str">
        <x:v>Fund II</x:v>
      </x:c>
      <x:c r="D3" s="7" t="str">
        <x:v>Series A</x:v>
      </x:c>
      <x:c r="E3" s="7" t="str">
        <x:v>Active</x:v>
      </x:c>
      <x:c r="F3" s="9" t="n">
        <x:v>44507</x:v>
      </x:c>
      <x:c r="G3" s="9" t="n">
        <x:v>45478</x:v>
      </x:c>
      <x:c r="H3" s="13" t="n">
        <x:v>61.3</x:v>
      </x:c>
      <x:c r="I3" s="13" t="n">
        <x:v>6</x:v>
      </x:c>
      <x:c r="J3" s="11" t="n">
        <x:v>0.132</x:v>
      </x:c>
      <x:c r="K3" s="13" t="n">
        <x:v>8.1</x:v>
      </x:c>
      <x:c r="L3" s="13" t="n">
        <x:v>0</x:v>
      </x:c>
      <x:c r="M3" s="15" t="n">
        <x:f>IF(I3=0,0,(K3+L3)/I3)</x:f>
        <x:v>1.3499999999999999</x:v>
      </x:c>
      <x:c r="N3" s="13" t="n">
        <x:v>5.1</x:v>
      </x:c>
      <x:c r="O3" s="11" t="n">
        <x:v>1.08</x:v>
      </x:c>
      <x:c r="P3" s="11" t="n">
        <x:v>0.67</x:v>
      </x:c>
      <x:c r="Q3" s="13" t="n">
        <x:v>0.52</x:v>
      </x:c>
      <x:c r="R3" s="13" t="n">
        <x:v>3.1</x:v>
      </x:c>
      <x:c r="S3" s="13" t="n">
        <x:f>IF(OR(E3&lt;&gt;"Active",Q3=0),"-",R3/Q3)</x:f>
        <x:v>5.961538461538462</x:v>
      </x:c>
      <x:c r="T3" s="17" t="n">
        <x:v>24</x:v>
      </x:c>
    </x:row>
    <x:row r="4" ht="24" customHeight="1">
      <x:c r="A4" s="3" t="str">
        <x:v>Cindral</x:v>
      </x:c>
      <x:c r="B4" s="3" t="str">
        <x:v>Developer Tools</x:v>
      </x:c>
      <x:c r="C4" s="3" t="str">
        <x:v>Fund I</x:v>
      </x:c>
      <x:c r="D4" s="3" t="str">
        <x:v>Series B</x:v>
      </x:c>
      <x:c r="E4" s="3" t="str">
        <x:v>Active</x:v>
      </x:c>
      <x:c r="F4" s="8" t="n">
        <x:v>43583</x:v>
      </x:c>
      <x:c r="G4" s="8" t="n">
        <x:v>44383</x:v>
      </x:c>
      <x:c r="H4" s="12" t="n">
        <x:v>209.5</x:v>
      </x:c>
      <x:c r="I4" s="12" t="n">
        <x:v>10</x:v>
      </x:c>
      <x:c r="J4" s="10" t="n">
        <x:v>0.087</x:v>
      </x:c>
      <x:c r="K4" s="12" t="n">
        <x:v>18.2</x:v>
      </x:c>
      <x:c r="L4" s="12" t="n">
        <x:v>0</x:v>
      </x:c>
      <x:c r="M4" s="14" t="n">
        <x:f>IF(I4=0,0,(K4+L4)/I4)</x:f>
        <x:v>1.8199999999999998</x:v>
      </x:c>
      <x:c r="N4" s="12" t="n">
        <x:v>27.3</x:v>
      </x:c>
      <x:c r="O4" s="10" t="n">
        <x:v>0.93</x:v>
      </x:c>
      <x:c r="P4" s="10" t="n">
        <x:v>0.8</x:v>
      </x:c>
      <x:c r="Q4" s="12" t="n">
        <x:v>1.44</x:v>
      </x:c>
      <x:c r="R4" s="12" t="n">
        <x:v>48.2</x:v>
      </x:c>
      <x:c r="S4" s="12" t="n">
        <x:f>IF(OR(E4&lt;&gt;"Active",Q4=0),"-",R4/Q4)</x:f>
        <x:v>33.47222222222223</x:v>
      </x:c>
      <x:c r="T4" s="16" t="n">
        <x:v>128</x:v>
      </x:c>
    </x:row>
    <x:row r="5" ht="24" customHeight="1">
      <x:c r="A5" s="7" t="str">
        <x:v>Dovelane Systems</x:v>
      </x:c>
      <x:c r="B5" s="7" t="str">
        <x:v>Fintech</x:v>
      </x:c>
      <x:c r="C5" s="7" t="str">
        <x:v>Fund II</x:v>
      </x:c>
      <x:c r="D5" s="7" t="str">
        <x:v>Series A</x:v>
      </x:c>
      <x:c r="E5" s="7" t="str">
        <x:v>Active</x:v>
      </x:c>
      <x:c r="F5" s="9" t="n">
        <x:v>44623</x:v>
      </x:c>
      <x:c r="G5" s="9" t="n">
        <x:v>45282</x:v>
      </x:c>
      <x:c r="H5" s="13" t="n">
        <x:v>53.9</x:v>
      </x:c>
      <x:c r="I5" s="13" t="n">
        <x:v>4</x:v>
      </x:c>
      <x:c r="J5" s="11" t="n">
        <x:v>0.076</x:v>
      </x:c>
      <x:c r="K5" s="13" t="n">
        <x:v>4.1</x:v>
      </x:c>
      <x:c r="L5" s="13" t="n">
        <x:v>0</x:v>
      </x:c>
      <x:c r="M5" s="15" t="n">
        <x:f>IF(I5=0,0,(K5+L5)/I5)</x:f>
        <x:v>1.025</x:v>
      </x:c>
      <x:c r="N5" s="13" t="n">
        <x:v>2.5</x:v>
      </x:c>
      <x:c r="O5" s="11" t="n">
        <x:v>1.86</x:v>
      </x:c>
      <x:c r="P5" s="11" t="n">
        <x:v>0.66</x:v>
      </x:c>
      <x:c r="Q5" s="13" t="n">
        <x:v>0.32</x:v>
      </x:c>
      <x:c r="R5" s="13" t="n">
        <x:v>8.2</x:v>
      </x:c>
      <x:c r="S5" s="13" t="n">
        <x:f>IF(OR(E5&lt;&gt;"Active",Q5=0),"-",R5/Q5)</x:f>
        <x:v>25.624999999999996</x:v>
      </x:c>
      <x:c r="T5" s="17" t="n">
        <x:v>65</x:v>
      </x:c>
    </x:row>
    <x:row r="6" ht="24" customHeight="1">
      <x:c r="A6" s="3" t="str">
        <x:v>Emberfold</x:v>
      </x:c>
      <x:c r="B6" s="3" t="str">
        <x:v>Cybersecurity</x:v>
      </x:c>
      <x:c r="C6" s="3" t="str">
        <x:v>Fund III</x:v>
      </x:c>
      <x:c r="D6" s="3" t="str">
        <x:v>Seed</x:v>
      </x:c>
      <x:c r="E6" s="3" t="str">
        <x:v>Active</x:v>
      </x:c>
      <x:c r="F6" s="8" t="n">
        <x:v>45681</x:v>
      </x:c>
      <x:c r="G6" s="8" t="n">
        <x:v>45681</x:v>
      </x:c>
      <x:c r="H6" s="12" t="n">
        <x:v>22.5</x:v>
      </x:c>
      <x:c r="I6" s="12" t="n">
        <x:v>2.5</x:v>
      </x:c>
      <x:c r="J6" s="10" t="n">
        <x:v>0.078</x:v>
      </x:c>
      <x:c r="K6" s="12" t="n">
        <x:v>1.8</x:v>
      </x:c>
      <x:c r="L6" s="12" t="n">
        <x:v>0</x:v>
      </x:c>
      <x:c r="M6" s="14" t="n">
        <x:f>IF(I6=0,0,(K6+L6)/I6)</x:f>
        <x:v>0.72</x:v>
      </x:c>
      <x:c r="N6" s="12" t="n">
        <x:v>0.7</x:v>
      </x:c>
      <x:c r="O6" s="10" t="n">
        <x:v>2.07</x:v>
      </x:c>
      <x:c r="P6" s="10" t="n">
        <x:v>0.76</x:v>
      </x:c>
      <x:c r="Q6" s="12" t="n">
        <x:v>0.13</x:v>
      </x:c>
      <x:c r="R6" s="12" t="n">
        <x:v>1.7</x:v>
      </x:c>
      <x:c r="S6" s="12" t="n">
        <x:f>IF(OR(E6&lt;&gt;"Active",Q6=0),"-",R6/Q6)</x:f>
        <x:v>13.076923076923077</x:v>
      </x:c>
      <x:c r="T6" s="16" t="n">
        <x:v>18</x:v>
      </x:c>
    </x:row>
    <x:row r="7" ht="24" customHeight="1">
      <x:c r="A7" s="7" t="str">
        <x:v>Fernwave</x:v>
      </x:c>
      <x:c r="B7" s="7" t="str">
        <x:v>Infrastructure</x:v>
      </x:c>
      <x:c r="C7" s="7" t="str">
        <x:v>Fund I</x:v>
      </x:c>
      <x:c r="D7" s="7" t="str">
        <x:v>Series C</x:v>
      </x:c>
      <x:c r="E7" s="7" t="str">
        <x:v>Active</x:v>
      </x:c>
      <x:c r="F7" s="9" t="n">
        <x:v>43876</x:v>
      </x:c>
      <x:c r="G7" s="9" t="n">
        <x:v>44082</x:v>
      </x:c>
      <x:c r="H7" s="13" t="n">
        <x:v>785.4</x:v>
      </x:c>
      <x:c r="I7" s="13" t="n">
        <x:v>10.3</x:v>
      </x:c>
      <x:c r="J7" s="11" t="n">
        <x:v>0.049</x:v>
      </x:c>
      <x:c r="K7" s="13" t="n">
        <x:v>38.5</x:v>
      </x:c>
      <x:c r="L7" s="13" t="n">
        <x:v>0</x:v>
      </x:c>
      <x:c r="M7" s="15" t="n">
        <x:f>IF(I7=0,0,(K7+L7)/I7)</x:f>
        <x:v>3.7378640776699026</x:v>
      </x:c>
      <x:c r="N7" s="13" t="n">
        <x:v>80.1</x:v>
      </x:c>
      <x:c r="O7" s="11" t="n">
        <x:v>0.69</x:v>
      </x:c>
      <x:c r="P7" s="11" t="n">
        <x:v>0.65</x:v>
      </x:c>
      <x:c r="Q7" s="13" t="n">
        <x:v>2.06</x:v>
      </x:c>
      <x:c r="R7" s="13" t="n">
        <x:v>66.1</x:v>
      </x:c>
      <x:c r="S7" s="13" t="n">
        <x:f>IF(OR(E7&lt;&gt;"Active",Q7=0),"-",R7/Q7)</x:f>
        <x:v>32.0873786407767</x:v>
      </x:c>
      <x:c r="T7" s="17" t="n">
        <x:v>500</x:v>
      </x:c>
    </x:row>
    <x:row r="8" ht="24" customHeight="1">
      <x:c r="A8" s="3" t="str">
        <x:v>Gryphonel</x:v>
      </x:c>
      <x:c r="B8" s="3" t="str">
        <x:v>AI/ML</x:v>
      </x:c>
      <x:c r="C8" s="3" t="str">
        <x:v>Fund I</x:v>
      </x:c>
      <x:c r="D8" s="3" t="str">
        <x:v>Series B</x:v>
      </x:c>
      <x:c r="E8" s="3" t="str">
        <x:v>Active</x:v>
      </x:c>
      <x:c r="F8" s="8" t="n">
        <x:v>43778</x:v>
      </x:c>
      <x:c r="G8" s="8" t="n">
        <x:v>44081</x:v>
      </x:c>
      <x:c r="H8" s="12" t="n">
        <x:v>97</x:v>
      </x:c>
      <x:c r="I8" s="12" t="n">
        <x:v>4</x:v>
      </x:c>
      <x:c r="J8" s="10" t="n">
        <x:v>0.036</x:v>
      </x:c>
      <x:c r="K8" s="12" t="n">
        <x:v>3.5</x:v>
      </x:c>
      <x:c r="L8" s="12" t="n">
        <x:v>0</x:v>
      </x:c>
      <x:c r="M8" s="14" t="n">
        <x:f>IF(I8=0,0,(K8+L8)/I8)</x:f>
        <x:v>0.875</x:v>
      </x:c>
      <x:c r="N8" s="12" t="n">
        <x:v>14</x:v>
      </x:c>
      <x:c r="O8" s="10" t="n">
        <x:v>0.51</x:v>
      </x:c>
      <x:c r="P8" s="10" t="n">
        <x:v>0.68</x:v>
      </x:c>
      <x:c r="Q8" s="12" t="n">
        <x:v>0.56</x:v>
      </x:c>
      <x:c r="R8" s="12" t="n">
        <x:v>14</x:v>
      </x:c>
      <x:c r="S8" s="12" t="n">
        <x:f>IF(OR(E8&lt;&gt;"Active",Q8=0),"-",R8/Q8)</x:f>
        <x:v>24.999999999999996</x:v>
      </x:c>
      <x:c r="T8" s="16" t="n">
        <x:v>77</x:v>
      </x:c>
    </x:row>
    <x:row r="9" ht="24" customHeight="1">
      <x:c r="A9" s="7" t="str">
        <x:v>Halcyra</x:v>
      </x:c>
      <x:c r="B9" s="7" t="str">
        <x:v>Cybersecurity</x:v>
      </x:c>
      <x:c r="C9" s="7" t="str">
        <x:v>Fund I</x:v>
      </x:c>
      <x:c r="D9" s="7" t="str">
        <x:v>Series A</x:v>
      </x:c>
      <x:c r="E9" s="7" t="str">
        <x:v>Active</x:v>
      </x:c>
      <x:c r="F9" s="9" t="n">
        <x:v>43666</x:v>
      </x:c>
      <x:c r="G9" s="9" t="n">
        <x:v>44134</x:v>
      </x:c>
      <x:c r="H9" s="13" t="n">
        <x:v>31.3</x:v>
      </x:c>
      <x:c r="I9" s="13" t="n">
        <x:v>2</x:v>
      </x:c>
      <x:c r="J9" s="11" t="n">
        <x:v>0.085</x:v>
      </x:c>
      <x:c r="K9" s="13" t="n">
        <x:v>2.7</x:v>
      </x:c>
      <x:c r="L9" s="13" t="n">
        <x:v>0</x:v>
      </x:c>
      <x:c r="M9" s="15" t="n">
        <x:f>IF(I9=0,0,(K9+L9)/I9)</x:f>
        <x:v>1.35</x:v>
      </x:c>
      <x:c r="N9" s="13" t="n">
        <x:v>4.8</x:v>
      </x:c>
      <x:c r="O9" s="11" t="n">
        <x:v>1.7</x:v>
      </x:c>
      <x:c r="P9" s="11" t="n">
        <x:v>0.76</x:v>
      </x:c>
      <x:c r="Q9" s="13" t="n">
        <x:v>0.65</x:v>
      </x:c>
      <x:c r="R9" s="13" t="n">
        <x:v>10.5</x:v>
      </x:c>
      <x:c r="S9" s="13" t="n">
        <x:f>IF(OR(E9&lt;&gt;"Active",Q9=0),"-",R9/Q9)</x:f>
        <x:v>16.153846153846153</x:v>
      </x:c>
      <x:c r="T9" s="17" t="n">
        <x:v>53</x:v>
      </x:c>
    </x:row>
    <x:row r="10" ht="24" customHeight="1">
      <x:c r="A10" s="3" t="str">
        <x:v>Ironquill Security</x:v>
      </x:c>
      <x:c r="B10" s="3" t="str">
        <x:v>Developer Tools</x:v>
      </x:c>
      <x:c r="C10" s="3" t="str">
        <x:v>Fund I</x:v>
      </x:c>
      <x:c r="D10" s="3" t="str">
        <x:v>Series C</x:v>
      </x:c>
      <x:c r="E10" s="3" t="str">
        <x:v>Active</x:v>
      </x:c>
      <x:c r="F10" s="8" t="n">
        <x:v>44174</x:v>
      </x:c>
      <x:c r="G10" s="8" t="n">
        <x:v>45425</x:v>
      </x:c>
      <x:c r="H10" s="12" t="n">
        <x:v>304.6</x:v>
      </x:c>
      <x:c r="I10" s="12" t="n">
        <x:v>6</x:v>
      </x:c>
      <x:c r="J10" s="10" t="n">
        <x:v>0.052</x:v>
      </x:c>
      <x:c r="K10" s="12" t="n">
        <x:v>15.8</x:v>
      </x:c>
      <x:c r="L10" s="12" t="n">
        <x:v>0</x:v>
      </x:c>
      <x:c r="M10" s="14" t="n">
        <x:f>IF(I10=0,0,(K10+L10)/I10)</x:f>
        <x:v>2.6333333333333333</x:v>
      </x:c>
      <x:c r="N10" s="12" t="n">
        <x:v>76.7</x:v>
      </x:c>
      <x:c r="O10" s="10" t="n">
        <x:v>0.28</x:v>
      </x:c>
      <x:c r="P10" s="10" t="n">
        <x:v>0.74</x:v>
      </x:c>
      <x:c r="Q10" s="12" t="n">
        <x:v>1.56</x:v>
      </x:c>
      <x:c r="R10" s="12" t="n">
        <x:v>22.6</x:v>
      </x:c>
      <x:c r="S10" s="12" t="n">
        <x:f>IF(OR(E10&lt;&gt;"Active",Q10=0),"-",R10/Q10)</x:f>
        <x:v>14.487179487179487</x:v>
      </x:c>
      <x:c r="T10" s="16" t="n">
        <x:v>306</x:v>
      </x:c>
    </x:row>
    <x:row r="11" ht="24" customHeight="1">
      <x:c r="A11" s="7" t="str">
        <x:v>Jettamar</x:v>
      </x:c>
      <x:c r="B11" s="7" t="str">
        <x:v>Enterprise SaaS</x:v>
      </x:c>
      <x:c r="C11" s="7" t="str">
        <x:v>Fund III</x:v>
      </x:c>
      <x:c r="D11" s="7" t="str">
        <x:v>Seed</x:v>
      </x:c>
      <x:c r="E11" s="7" t="str">
        <x:v>Active</x:v>
      </x:c>
      <x:c r="F11" s="9" t="n">
        <x:v>45829</x:v>
      </x:c>
      <x:c r="G11" s="9" t="n">
        <x:v>46081</x:v>
      </x:c>
      <x:c r="H11" s="13" t="n">
        <x:v>27</x:v>
      </x:c>
      <x:c r="I11" s="13" t="n">
        <x:v>2.5</x:v>
      </x:c>
      <x:c r="J11" s="11" t="n">
        <x:v>0.108</x:v>
      </x:c>
      <x:c r="K11" s="13" t="n">
        <x:v>2.9</x:v>
      </x:c>
      <x:c r="L11" s="13" t="n">
        <x:v>0</x:v>
      </x:c>
      <x:c r="M11" s="15" t="n">
        <x:f>IF(I11=0,0,(K11+L11)/I11)</x:f>
        <x:v>1.16</x:v>
      </x:c>
      <x:c r="N11" s="13" t="n">
        <x:v>1.2</x:v>
      </x:c>
      <x:c r="O11" s="11" t="n">
        <x:v>2.71</x:v>
      </x:c>
      <x:c r="P11" s="11" t="n">
        <x:v>0.69</x:v>
      </x:c>
      <x:c r="Q11" s="13" t="n">
        <x:v>0.23</x:v>
      </x:c>
      <x:c r="R11" s="13" t="n">
        <x:v>6.1</x:v>
      </x:c>
      <x:c r="S11" s="13" t="n">
        <x:f>IF(OR(E11&lt;&gt;"Active",Q11=0),"-",R11/Q11)</x:f>
        <x:v>26.52173913043478</x:v>
      </x:c>
      <x:c r="T11" s="17" t="n">
        <x:v>11</x:v>
      </x:c>
    </x:row>
    <x:row r="12" ht="24" customHeight="1">
      <x:c r="A12" s="3" t="str">
        <x:v>Kolvani Health</x:v>
      </x:c>
      <x:c r="B12" s="3" t="str">
        <x:v>Developer Tools</x:v>
      </x:c>
      <x:c r="C12" s="3" t="str">
        <x:v>Fund II</x:v>
      </x:c>
      <x:c r="D12" s="3" t="str">
        <x:v>Series B</x:v>
      </x:c>
      <x:c r="E12" s="3" t="str">
        <x:v>Acquired</x:v>
      </x:c>
      <x:c r="F12" s="8" t="n">
        <x:v>44594</x:v>
      </x:c>
      <x:c r="G12" s="8" t="n">
        <x:v>45653</x:v>
      </x:c>
      <x:c r="H12" s="12" t="n">
        <x:v>112.1</x:v>
      </x:c>
      <x:c r="I12" s="12" t="n">
        <x:v>5.8</x:v>
      </x:c>
      <x:c r="J12" s="10" t="n">
        <x:v>0.071</x:v>
      </x:c>
      <x:c r="K12" s="12" t="n">
        <x:v>0</x:v>
      </x:c>
      <x:c r="L12" s="12" t="n">
        <x:v>15.9</x:v>
      </x:c>
      <x:c r="M12" s="14" t="n">
        <x:f>IF(I12=0,0,(K12+L12)/I12)</x:f>
        <x:v>2.741379310344828</x:v>
      </x:c>
      <x:c r="N12" s="12"/>
      <x:c r="O12" s="10"/>
      <x:c r="P12" s="10"/>
      <x:c r="Q12" s="12"/>
      <x:c r="R12" s="12"/>
      <x:c r="S12" s="12" t="str">
        <x:f>IF(OR(E12&lt;&gt;"Active",Q12=0),"-",R12/Q12)</x:f>
        <x:v>-</x:v>
      </x:c>
      <x:c r="T12" s="16"/>
    </x:row>
    <x:row r="13" ht="24" customHeight="1">
      <x:c r="A13" s="7" t="str">
        <x:v>Lumetra</x:v>
      </x:c>
      <x:c r="B13" s="7" t="str">
        <x:v>AI/ML</x:v>
      </x:c>
      <x:c r="C13" s="7" t="str">
        <x:v>Fund III</x:v>
      </x:c>
      <x:c r="D13" s="7" t="str">
        <x:v>Seed</x:v>
      </x:c>
      <x:c r="E13" s="7" t="str">
        <x:v>Active</x:v>
      </x:c>
      <x:c r="F13" s="9" t="n">
        <x:v>46096</x:v>
      </x:c>
      <x:c r="G13" s="9" t="n">
        <x:v>46096</x:v>
      </x:c>
      <x:c r="H13" s="13" t="n">
        <x:v>4.3</x:v>
      </x:c>
      <x:c r="I13" s="13" t="n">
        <x:v>0.5</x:v>
      </x:c>
      <x:c r="J13" s="11" t="n">
        <x:v>0.099</x:v>
      </x:c>
      <x:c r="K13" s="13" t="n">
        <x:v>0.4</x:v>
      </x:c>
      <x:c r="L13" s="13" t="n">
        <x:v>0</x:v>
      </x:c>
      <x:c r="M13" s="15" t="n">
        <x:f>IF(I13=0,0,(K13+L13)/I13)</x:f>
        <x:v>0.8</x:v>
      </x:c>
      <x:c r="N13" s="13" t="n">
        <x:v>0.8</x:v>
      </x:c>
      <x:c r="O13" s="11" t="n">
        <x:v>2.86</x:v>
      </x:c>
      <x:c r="P13" s="11" t="n">
        <x:v>0.64</x:v>
      </x:c>
      <x:c r="Q13" s="13" t="n">
        <x:v>0.15</x:v>
      </x:c>
      <x:c r="R13" s="13" t="n">
        <x:v>3.3</x:v>
      </x:c>
      <x:c r="S13" s="13" t="n">
        <x:f>IF(OR(E13&lt;&gt;"Active",Q13=0),"-",R13/Q13)</x:f>
        <x:v>22</x:v>
      </x:c>
      <x:c r="T13" s="17" t="n">
        <x:v>24</x:v>
      </x:c>
    </x:row>
    <x:row r="14" ht="24" customHeight="1">
      <x:c r="A14" s="3" t="str">
        <x:v>Marrowick Bio</x:v>
      </x:c>
      <x:c r="B14" s="3" t="str">
        <x:v>AI/ML</x:v>
      </x:c>
      <x:c r="C14" s="3" t="str">
        <x:v>Fund II</x:v>
      </x:c>
      <x:c r="D14" s="3" t="str">
        <x:v>Series C</x:v>
      </x:c>
      <x:c r="E14" s="3" t="str">
        <x:v>Active</x:v>
      </x:c>
      <x:c r="F14" s="8" t="n">
        <x:v>44918</x:v>
      </x:c>
      <x:c r="G14" s="8" t="n">
        <x:v>45764</x:v>
      </x:c>
      <x:c r="H14" s="12" t="n">
        <x:v>516</x:v>
      </x:c>
      <x:c r="I14" s="12" t="n">
        <x:v>10.4</x:v>
      </x:c>
      <x:c r="J14" s="10" t="n">
        <x:v>0.025</x:v>
      </x:c>
      <x:c r="K14" s="12" t="n">
        <x:v>12.9</x:v>
      </x:c>
      <x:c r="L14" s="12" t="n">
        <x:v>0</x:v>
      </x:c>
      <x:c r="M14" s="14" t="n">
        <x:f>IF(I14=0,0,(K14+L14)/I14)</x:f>
        <x:v>1.2403846153846154</x:v>
      </x:c>
      <x:c r="N14" s="12" t="n">
        <x:v>75.3</x:v>
      </x:c>
      <x:c r="O14" s="10" t="n">
        <x:v>0.46</x:v>
      </x:c>
      <x:c r="P14" s="10" t="n">
        <x:v>0.64</x:v>
      </x:c>
      <x:c r="Q14" s="12" t="n">
        <x:v>2.09</x:v>
      </x:c>
      <x:c r="R14" s="12" t="n">
        <x:v>35</x:v>
      </x:c>
      <x:c r="S14" s="12" t="n">
        <x:f>IF(OR(E14&lt;&gt;"Active",Q14=0),"-",R14/Q14)</x:f>
        <x:v>16.74641148325359</x:v>
      </x:c>
      <x:c r="T14" s="16" t="n">
        <x:v>222</x:v>
      </x:c>
    </x:row>
    <x:row r="15" ht="24" customHeight="1">
      <x:c r="A15" s="7" t="str">
        <x:v>Nimbrel</x:v>
      </x:c>
      <x:c r="B15" s="7" t="str">
        <x:v>AI/ML</x:v>
      </x:c>
      <x:c r="C15" s="7" t="str">
        <x:v>Fund II</x:v>
      </x:c>
      <x:c r="D15" s="7" t="str">
        <x:v>Seed</x:v>
      </x:c>
      <x:c r="E15" s="7" t="str">
        <x:v>Active</x:v>
      </x:c>
      <x:c r="F15" s="9" t="n">
        <x:v>44962</x:v>
      </x:c>
      <x:c r="G15" s="9" t="n">
        <x:v>44962</x:v>
      </x:c>
      <x:c r="H15" s="13" t="n">
        <x:v>18.1</x:v>
      </x:c>
      <x:c r="I15" s="13" t="n">
        <x:v>0.8</x:v>
      </x:c>
      <x:c r="J15" s="11" t="n">
        <x:v>0.065</x:v>
      </x:c>
      <x:c r="K15" s="13" t="n">
        <x:v>1.2</x:v>
      </x:c>
      <x:c r="L15" s="13" t="n">
        <x:v>0</x:v>
      </x:c>
      <x:c r="M15" s="15" t="n">
        <x:f>IF(I15=0,0,(K15+L15)/I15)</x:f>
        <x:v>1.4999999999999998</x:v>
      </x:c>
      <x:c r="N15" s="13" t="n">
        <x:v>0.9</x:v>
      </x:c>
      <x:c r="O15" s="11" t="n">
        <x:v>1.25</x:v>
      </x:c>
      <x:c r="P15" s="11" t="n">
        <x:v>0.57</x:v>
      </x:c>
      <x:c r="Q15" s="13" t="n">
        <x:v>0.29</x:v>
      </x:c>
      <x:c r="R15" s="13" t="n">
        <x:v>4.3</x:v>
      </x:c>
      <x:c r="S15" s="13" t="n">
        <x:f>IF(OR(E15&lt;&gt;"Active",Q15=0),"-",R15/Q15)</x:f>
        <x:v>14.827586206896552</x:v>
      </x:c>
      <x:c r="T15" s="17" t="n">
        <x:v>9</x:v>
      </x:c>
    </x:row>
    <x:row r="16" ht="24" customHeight="1">
      <x:c r="A16" s="3" t="str">
        <x:v>Ostrella</x:v>
      </x:c>
      <x:c r="B16" s="3" t="str">
        <x:v>Space &amp; Defense</x:v>
      </x:c>
      <x:c r="C16" s="3" t="str">
        <x:v>Fund I</x:v>
      </x:c>
      <x:c r="D16" s="3" t="str">
        <x:v>Series D+</x:v>
      </x:c>
      <x:c r="E16" s="3" t="str">
        <x:v>Active</x:v>
      </x:c>
      <x:c r="F16" s="8" t="n">
        <x:v>43953</x:v>
      </x:c>
      <x:c r="G16" s="8" t="n">
        <x:v>44426</x:v>
      </x:c>
      <x:c r="H16" s="12" t="n">
        <x:v>1157.1</x:v>
      </x:c>
      <x:c r="I16" s="12" t="n">
        <x:v>8</x:v>
      </x:c>
      <x:c r="J16" s="10" t="n">
        <x:v>0.012</x:v>
      </x:c>
      <x:c r="K16" s="12" t="n">
        <x:v>13.9</x:v>
      </x:c>
      <x:c r="L16" s="12" t="n">
        <x:v>0</x:v>
      </x:c>
      <x:c r="M16" s="14" t="n">
        <x:f>IF(I16=0,0,(K16+L16)/I16)</x:f>
        <x:v>1.7375</x:v>
      </x:c>
      <x:c r="N16" s="12" t="n">
        <x:v>121.2</x:v>
      </x:c>
      <x:c r="O16" s="10" t="n">
        <x:v>0.27</x:v>
      </x:c>
      <x:c r="P16" s="10" t="n">
        <x:v>0.46</x:v>
      </x:c>
      <x:c r="Q16" s="12" t="n">
        <x:v>2.79</x:v>
      </x:c>
      <x:c r="R16" s="12" t="n">
        <x:v>45</x:v>
      </x:c>
      <x:c r="S16" s="12" t="n">
        <x:f>IF(OR(E16&lt;&gt;"Active",Q16=0),"-",R16/Q16)</x:f>
        <x:v>16.129032258064516</x:v>
      </x:c>
      <x:c r="T16" s="16" t="n">
        <x:v>525</x:v>
      </x:c>
    </x:row>
    <x:row r="17" ht="24" customHeight="1">
      <x:c r="A17" s="7" t="str">
        <x:v>Pellagrin</x:v>
      </x:c>
      <x:c r="B17" s="7" t="str">
        <x:v>Climate &amp; Energy</x:v>
      </x:c>
      <x:c r="C17" s="7" t="str">
        <x:v>Fund I</x:v>
      </x:c>
      <x:c r="D17" s="7" t="str">
        <x:v>Series B</x:v>
      </x:c>
      <x:c r="E17" s="7" t="str">
        <x:v>Active</x:v>
      </x:c>
      <x:c r="F17" s="9" t="n">
        <x:v>43895</x:v>
      </x:c>
      <x:c r="G17" s="9" t="n">
        <x:v>44477</x:v>
      </x:c>
      <x:c r="H17" s="13" t="n">
        <x:v>176.3</x:v>
      </x:c>
      <x:c r="I17" s="13" t="n">
        <x:v>4</x:v>
      </x:c>
      <x:c r="J17" s="11" t="n">
        <x:v>0.074</x:v>
      </x:c>
      <x:c r="K17" s="13" t="n">
        <x:v>13</x:v>
      </x:c>
      <x:c r="L17" s="13" t="n">
        <x:v>0</x:v>
      </x:c>
      <x:c r="M17" s="15" t="n">
        <x:f>IF(I17=0,0,(K17+L17)/I17)</x:f>
        <x:v>3.25</x:v>
      </x:c>
      <x:c r="N17" s="13" t="n">
        <x:v>25.5</x:v>
      </x:c>
      <x:c r="O17" s="11" t="n">
        <x:v>1.01</x:v>
      </x:c>
      <x:c r="P17" s="11" t="n">
        <x:v>0.45</x:v>
      </x:c>
      <x:c r="Q17" s="13" t="n">
        <x:v>1.51</x:v>
      </x:c>
      <x:c r="R17" s="13" t="n">
        <x:v>30.5</x:v>
      </x:c>
      <x:c r="S17" s="13" t="n">
        <x:f>IF(OR(E17&lt;&gt;"Active",Q17=0),"-",R17/Q17)</x:f>
        <x:v>20.198675496688743</x:v>
      </x:c>
      <x:c r="T17" s="17" t="n">
        <x:v>201</x:v>
      </x:c>
    </x:row>
    <x:row r="18" ht="24" customHeight="1">
      <x:c r="A18" s="3" t="str">
        <x:v>Quindle</x:v>
      </x:c>
      <x:c r="B18" s="3" t="str">
        <x:v>Infrastructure</x:v>
      </x:c>
      <x:c r="C18" s="3" t="str">
        <x:v>Fund II</x:v>
      </x:c>
      <x:c r="D18" s="3" t="str">
        <x:v>Series A</x:v>
      </x:c>
      <x:c r="E18" s="3" t="str">
        <x:v>Active</x:v>
      </x:c>
      <x:c r="F18" s="8" t="n">
        <x:v>44973</x:v>
      </x:c>
      <x:c r="G18" s="8" t="n">
        <x:v>45239</x:v>
      </x:c>
      <x:c r="H18" s="12" t="n">
        <x:v>61.1</x:v>
      </x:c>
      <x:c r="I18" s="12" t="n">
        <x:v>6</x:v>
      </x:c>
      <x:c r="J18" s="10" t="n">
        <x:v>0.121</x:v>
      </x:c>
      <x:c r="K18" s="12" t="n">
        <x:v>7.4</x:v>
      </x:c>
      <x:c r="L18" s="12" t="n">
        <x:v>0</x:v>
      </x:c>
      <x:c r="M18" s="14" t="n">
        <x:f>IF(I18=0,0,(K18+L18)/I18)</x:f>
        <x:v>1.2333333333333334</x:v>
      </x:c>
      <x:c r="N18" s="12" t="n">
        <x:v>2.9</x:v>
      </x:c>
      <x:c r="O18" s="10" t="n">
        <x:v>1.26</x:v>
      </x:c>
      <x:c r="P18" s="10" t="n">
        <x:v>0.62</x:v>
      </x:c>
      <x:c r="Q18" s="12" t="n">
        <x:v>0.83</x:v>
      </x:c>
      <x:c r="R18" s="12" t="n">
        <x:v>12.3</x:v>
      </x:c>
      <x:c r="S18" s="12" t="n">
        <x:f>IF(OR(E18&lt;&gt;"Active",Q18=0),"-",R18/Q18)</x:f>
        <x:v>14.819277108433736</x:v>
      </x:c>
      <x:c r="T18" s="16" t="n">
        <x:v>64</x:v>
      </x:c>
    </x:row>
    <x:row r="19" ht="24" customHeight="1">
      <x:c r="A19" s="7" t="str">
        <x:v>Rivenmark</x:v>
      </x:c>
      <x:c r="B19" s="7" t="str">
        <x:v>Developer Tools</x:v>
      </x:c>
      <x:c r="C19" s="7" t="str">
        <x:v>Fund III</x:v>
      </x:c>
      <x:c r="D19" s="7" t="str">
        <x:v>Seed</x:v>
      </x:c>
      <x:c r="E19" s="7" t="str">
        <x:v>Active</x:v>
      </x:c>
      <x:c r="F19" s="9" t="n">
        <x:v>45385</x:v>
      </x:c>
      <x:c r="G19" s="9" t="n">
        <x:v>45863</x:v>
      </x:c>
      <x:c r="H19" s="13" t="n">
        <x:v>23.9</x:v>
      </x:c>
      <x:c r="I19" s="13" t="n">
        <x:v>2.2</x:v>
      </x:c>
      <x:c r="J19" s="11" t="n">
        <x:v>0.12</x:v>
      </x:c>
      <x:c r="K19" s="13" t="n">
        <x:v>2.9</x:v>
      </x:c>
      <x:c r="L19" s="13" t="n">
        <x:v>0</x:v>
      </x:c>
      <x:c r="M19" s="15" t="n">
        <x:f>IF(I19=0,0,(K19+L19)/I19)</x:f>
        <x:v>1.3181818181818181</x:v>
      </x:c>
      <x:c r="N19" s="13" t="n">
        <x:v>1.3</x:v>
      </x:c>
      <x:c r="O19" s="11" t="n">
        <x:v>2.44</x:v>
      </x:c>
      <x:c r="P19" s="11" t="n">
        <x:v>0.75</x:v>
      </x:c>
      <x:c r="Q19" s="13" t="n">
        <x:v>0.25</x:v>
      </x:c>
      <x:c r="R19" s="13" t="n">
        <x:v>4.1</x:v>
      </x:c>
      <x:c r="S19" s="13" t="n">
        <x:f>IF(OR(E19&lt;&gt;"Active",Q19=0),"-",R19/Q19)</x:f>
        <x:v>16.4</x:v>
      </x:c>
      <x:c r="T19" s="17" t="n">
        <x:v>17</x:v>
      </x:c>
    </x:row>
    <x:row r="20" ht="24" customHeight="1">
      <x:c r="A20" s="3" t="str">
        <x:v>Solvantra</x:v>
      </x:c>
      <x:c r="B20" s="3" t="str">
        <x:v>Fintech</x:v>
      </x:c>
      <x:c r="C20" s="3" t="str">
        <x:v>Fund II</x:v>
      </x:c>
      <x:c r="D20" s="3" t="str">
        <x:v>Series A</x:v>
      </x:c>
      <x:c r="E20" s="3" t="str">
        <x:v>Active</x:v>
      </x:c>
      <x:c r="F20" s="8" t="n">
        <x:v>45096</x:v>
      </x:c>
      <x:c r="G20" s="8" t="n">
        <x:v>45985</x:v>
      </x:c>
      <x:c r="H20" s="12" t="n">
        <x:v>75.5</x:v>
      </x:c>
      <x:c r="I20" s="12" t="n">
        <x:v>5.1</x:v>
      </x:c>
      <x:c r="J20" s="10" t="n">
        <x:v>0.118</x:v>
      </x:c>
      <x:c r="K20" s="12" t="n">
        <x:v>8.9</x:v>
      </x:c>
      <x:c r="L20" s="12" t="n">
        <x:v>0</x:v>
      </x:c>
      <x:c r="M20" s="14" t="n">
        <x:f>IF(I20=0,0,(K20+L20)/I20)</x:f>
        <x:v>1.7450980392156865</x:v>
      </x:c>
      <x:c r="N20" s="12" t="n">
        <x:v>3.6</x:v>
      </x:c>
      <x:c r="O20" s="10" t="n">
        <x:v>1.07</x:v>
      </x:c>
      <x:c r="P20" s="10" t="n">
        <x:v>0.46</x:v>
      </x:c>
      <x:c r="Q20" s="12" t="n">
        <x:v>0.8</x:v>
      </x:c>
      <x:c r="R20" s="12" t="n">
        <x:v>19.1</x:v>
      </x:c>
      <x:c r="S20" s="12" t="n">
        <x:f>IF(OR(E20&lt;&gt;"Active",Q20=0),"-",R20/Q20)</x:f>
        <x:v>23.875</x:v>
      </x:c>
      <x:c r="T20" s="16" t="n">
        <x:v>25</x:v>
      </x:c>
    </x:row>
    <x:row r="21" ht="24" customHeight="1">
      <x:c r="A21" s="7" t="str">
        <x:v>Tarnwick Aerospace</x:v>
      </x:c>
      <x:c r="B21" s="7" t="str">
        <x:v>Enterprise SaaS</x:v>
      </x:c>
      <x:c r="C21" s="7" t="str">
        <x:v>Fund II</x:v>
      </x:c>
      <x:c r="D21" s="7" t="str">
        <x:v>Seed</x:v>
      </x:c>
      <x:c r="E21" s="7" t="str">
        <x:v>Active</x:v>
      </x:c>
      <x:c r="F21" s="9" t="n">
        <x:v>44696</x:v>
      </x:c>
      <x:c r="G21" s="9" t="n">
        <x:v>44696</x:v>
      </x:c>
      <x:c r="H21" s="13" t="n">
        <x:v>23.9</x:v>
      </x:c>
      <x:c r="I21" s="13" t="n">
        <x:v>1</x:v>
      </x:c>
      <x:c r="J21" s="11" t="n">
        <x:v>0.083</x:v>
      </x:c>
      <x:c r="K21" s="13" t="n">
        <x:v>2</x:v>
      </x:c>
      <x:c r="L21" s="13" t="n">
        <x:v>0</x:v>
      </x:c>
      <x:c r="M21" s="15" t="n">
        <x:f>IF(I21=0,0,(K21+L21)/I21)</x:f>
        <x:v>2</x:v>
      </x:c>
      <x:c r="N21" s="13" t="n">
        <x:v>1.4</x:v>
      </x:c>
      <x:c r="O21" s="11" t="n">
        <x:v>-0.16</x:v>
      </x:c>
      <x:c r="P21" s="11" t="n">
        <x:v>0.68</x:v>
      </x:c>
      <x:c r="Q21" s="13" t="n">
        <x:v>0.29</x:v>
      </x:c>
      <x:c r="R21" s="13" t="n">
        <x:v>9.7</x:v>
      </x:c>
      <x:c r="S21" s="13" t="n">
        <x:f>IF(OR(E21&lt;&gt;"Active",Q21=0),"-",R21/Q21)</x:f>
        <x:v>33.44827586206897</x:v>
      </x:c>
      <x:c r="T21" s="17" t="n">
        <x:v>7</x:v>
      </x:c>
    </x:row>
    <x:row r="22" ht="24" customHeight="1">
      <x:c r="A22" s="3" t="str">
        <x:v>Umberly</x:v>
      </x:c>
      <x:c r="B22" s="3" t="str">
        <x:v>AI/ML</x:v>
      </x:c>
      <x:c r="C22" s="3" t="str">
        <x:v>Fund II</x:v>
      </x:c>
      <x:c r="D22" s="3" t="str">
        <x:v>Series B</x:v>
      </x:c>
      <x:c r="E22" s="3" t="str">
        <x:v>Active</x:v>
      </x:c>
      <x:c r="F22" s="8" t="n">
        <x:v>44499</x:v>
      </x:c>
      <x:c r="G22" s="8" t="n">
        <x:v>45208</x:v>
      </x:c>
      <x:c r="H22" s="12" t="n">
        <x:v>279.8</x:v>
      </x:c>
      <x:c r="I22" s="12" t="n">
        <x:v>10</x:v>
      </x:c>
      <x:c r="J22" s="10" t="n">
        <x:v>0.086</x:v>
      </x:c>
      <x:c r="K22" s="12" t="n">
        <x:v>24.1</x:v>
      </x:c>
      <x:c r="L22" s="12" t="n">
        <x:v>0</x:v>
      </x:c>
      <x:c r="M22" s="14" t="n">
        <x:f>IF(I22=0,0,(K22+L22)/I22)</x:f>
        <x:v>2.41</x:v>
      </x:c>
      <x:c r="N22" s="12" t="n">
        <x:v>31.7</x:v>
      </x:c>
      <x:c r="O22" s="10" t="n">
        <x:v>0.45</x:v>
      </x:c>
      <x:c r="P22" s="10" t="n">
        <x:v>0.59</x:v>
      </x:c>
      <x:c r="Q22" s="12" t="n">
        <x:v>1.36</x:v>
      </x:c>
      <x:c r="R22" s="12" t="n">
        <x:v>5.6</x:v>
      </x:c>
      <x:c r="S22" s="12" t="n">
        <x:f>IF(OR(E22&lt;&gt;"Active",Q22=0),"-",R22/Q22)</x:f>
        <x:v>4.117647058823529</x:v>
      </x:c>
      <x:c r="T22" s="16" t="n">
        <x:v>174</x:v>
      </x:c>
    </x:row>
    <x:row r="23" ht="24" customHeight="1">
      <x:c r="A23" s="7" t="str">
        <x:v>Vexmoor</x:v>
      </x:c>
      <x:c r="B23" s="7" t="str">
        <x:v>Space &amp; Defense</x:v>
      </x:c>
      <x:c r="C23" s="7" t="str">
        <x:v>Fund I</x:v>
      </x:c>
      <x:c r="D23" s="7" t="str">
        <x:v>Series C</x:v>
      </x:c>
      <x:c r="E23" s="7" t="str">
        <x:v>Active</x:v>
      </x:c>
      <x:c r="F23" s="9" t="n">
        <x:v>44315</x:v>
      </x:c>
      <x:c r="G23" s="9" t="n">
        <x:v>45782</x:v>
      </x:c>
      <x:c r="H23" s="13" t="n">
        <x:v>398.1</x:v>
      </x:c>
      <x:c r="I23" s="13" t="n">
        <x:v>6</x:v>
      </x:c>
      <x:c r="J23" s="11" t="n">
        <x:v>0.057</x:v>
      </x:c>
      <x:c r="K23" s="13" t="n">
        <x:v>22.7</x:v>
      </x:c>
      <x:c r="L23" s="13" t="n">
        <x:v>0</x:v>
      </x:c>
      <x:c r="M23" s="15" t="n">
        <x:f>IF(I23=0,0,(K23+L23)/I23)</x:f>
        <x:v>3.783333333333333</x:v>
      </x:c>
      <x:c r="N23" s="13" t="n">
        <x:v>71.8</x:v>
      </x:c>
      <x:c r="O23" s="11" t="n">
        <x:v>0.29</x:v>
      </x:c>
      <x:c r="P23" s="11" t="n">
        <x:v>0.37</x:v>
      </x:c>
      <x:c r="Q23" s="13" t="n">
        <x:v>0.88</x:v>
      </x:c>
      <x:c r="R23" s="13" t="n">
        <x:v>16.6</x:v>
      </x:c>
      <x:c r="S23" s="13" t="n">
        <x:f>IF(OR(E23&lt;&gt;"Active",Q23=0),"-",R23/Q23)</x:f>
        <x:v>18.863636363636367</x:v>
      </x:c>
      <x:c r="T23" s="17" t="n">
        <x:v>343</x:v>
      </x:c>
    </x:row>
    <x:row r="24" ht="24" customHeight="1">
      <x:c r="A24" s="3" t="str">
        <x:v>Wrenfield Data</x:v>
      </x:c>
      <x:c r="B24" s="3" t="str">
        <x:v>Fintech</x:v>
      </x:c>
      <x:c r="C24" s="3" t="str">
        <x:v>Fund I</x:v>
      </x:c>
      <x:c r="D24" s="3" t="str">
        <x:v>Series C</x:v>
      </x:c>
      <x:c r="E24" s="3" t="str">
        <x:v>Active</x:v>
      </x:c>
      <x:c r="F24" s="8" t="n">
        <x:v>43791</x:v>
      </x:c>
      <x:c r="G24" s="8" t="n">
        <x:v>44980</x:v>
      </x:c>
      <x:c r="H24" s="12" t="n">
        <x:v>562.1</x:v>
      </x:c>
      <x:c r="I24" s="12" t="n">
        <x:v>6</x:v>
      </x:c>
      <x:c r="J24" s="10" t="n">
        <x:v>0.022</x:v>
      </x:c>
      <x:c r="K24" s="12" t="n">
        <x:v>12.4</x:v>
      </x:c>
      <x:c r="L24" s="12" t="n">
        <x:v>0</x:v>
      </x:c>
      <x:c r="M24" s="14" t="n">
        <x:f>IF(I24=0,0,(K24+L24)/I24)</x:f>
        <x:v>2.066666666666667</x:v>
      </x:c>
      <x:c r="N24" s="12" t="n">
        <x:v>78.7</x:v>
      </x:c>
      <x:c r="O24" s="10" t="n">
        <x:v>0.75</x:v>
      </x:c>
      <x:c r="P24" s="10" t="n">
        <x:v>0.51</x:v>
      </x:c>
      <x:c r="Q24" s="12" t="n">
        <x:v>1.75</x:v>
      </x:c>
      <x:c r="R24" s="12" t="n">
        <x:v>29.7</x:v>
      </x:c>
      <x:c r="S24" s="12" t="n">
        <x:f>IF(OR(E24&lt;&gt;"Active",Q24=0),"-",R24/Q24)</x:f>
        <x:v>16.97142857142857</x:v>
      </x:c>
      <x:c r="T24" s="16" t="n">
        <x:v>482</x:v>
      </x:c>
    </x:row>
    <x:row r="25" ht="24" customHeight="1">
      <x:c r="A25" s="7" t="str">
        <x:v>Xalorin</x:v>
      </x:c>
      <x:c r="B25" s="7" t="str">
        <x:v>Infrastructure</x:v>
      </x:c>
      <x:c r="C25" s="7" t="str">
        <x:v>Fund II</x:v>
      </x:c>
      <x:c r="D25" s="7" t="str">
        <x:v>Series B</x:v>
      </x:c>
      <x:c r="E25" s="7" t="str">
        <x:v>Active</x:v>
      </x:c>
      <x:c r="F25" s="9" t="n">
        <x:v>44801</x:v>
      </x:c>
      <x:c r="G25" s="9" t="n">
        <x:v>45151</x:v>
      </x:c>
      <x:c r="H25" s="13" t="n">
        <x:v>97.6</x:v>
      </x:c>
      <x:c r="I25" s="13" t="n">
        <x:v>4</x:v>
      </x:c>
      <x:c r="J25" s="11" t="n">
        <x:v>0.063</x:v>
      </x:c>
      <x:c r="K25" s="13" t="n">
        <x:v>6.1</x:v>
      </x:c>
      <x:c r="L25" s="13" t="n">
        <x:v>0</x:v>
      </x:c>
      <x:c r="M25" s="15" t="n">
        <x:f>IF(I25=0,0,(K25+L25)/I25)</x:f>
        <x:v>1.525</x:v>
      </x:c>
      <x:c r="N25" s="13" t="n">
        <x:v>12.2</x:v>
      </x:c>
      <x:c r="O25" s="11" t="n">
        <x:v>1.08</x:v>
      </x:c>
      <x:c r="P25" s="11" t="n">
        <x:v>0.56</x:v>
      </x:c>
      <x:c r="Q25" s="13" t="n">
        <x:v>0.78</x:v>
      </x:c>
      <x:c r="R25" s="13" t="n">
        <x:v>20.7</x:v>
      </x:c>
      <x:c r="S25" s="13" t="n">
        <x:f>IF(OR(E25&lt;&gt;"Active",Q25=0),"-",R25/Q25)</x:f>
        <x:v>26.538461538461537</x:v>
      </x:c>
      <x:c r="T25" s="17" t="n">
        <x:v>196</x:v>
      </x:c>
    </x:row>
    <x:row r="26" ht="24" customHeight="1">
      <x:c r="A26" s="3" t="str">
        <x:v>Yondermist</x:v>
      </x:c>
      <x:c r="B26" s="3" t="str">
        <x:v>Healthcare</x:v>
      </x:c>
      <x:c r="C26" s="3" t="str">
        <x:v>Fund III</x:v>
      </x:c>
      <x:c r="D26" s="3" t="str">
        <x:v>Seed</x:v>
      </x:c>
      <x:c r="E26" s="3" t="str">
        <x:v>Active</x:v>
      </x:c>
      <x:c r="F26" s="8" t="n">
        <x:v>45466</x:v>
      </x:c>
      <x:c r="G26" s="8" t="n">
        <x:v>45466</x:v>
      </x:c>
      <x:c r="H26" s="12" t="n">
        <x:v>14.2</x:v>
      </x:c>
      <x:c r="I26" s="12" t="n">
        <x:v>1.2</x:v>
      </x:c>
      <x:c r="J26" s="10" t="n">
        <x:v>0.091</x:v>
      </x:c>
      <x:c r="K26" s="12" t="n">
        <x:v>1.3</x:v>
      </x:c>
      <x:c r="L26" s="12" t="n">
        <x:v>0</x:v>
      </x:c>
      <x:c r="M26" s="14" t="n">
        <x:f>IF(I26=0,0,(K26+L26)/I26)</x:f>
        <x:v>1.0833333333333335</x:v>
      </x:c>
      <x:c r="N26" s="12" t="n">
        <x:v>0.8</x:v>
      </x:c>
      <x:c r="O26" s="10" t="n">
        <x:v>1.49</x:v>
      </x:c>
      <x:c r="P26" s="10" t="n">
        <x:v>0.65</x:v>
      </x:c>
      <x:c r="Q26" s="12" t="n">
        <x:v>0.32</x:v>
      </x:c>
      <x:c r="R26" s="12" t="n">
        <x:v>5</x:v>
      </x:c>
      <x:c r="S26" s="12" t="n">
        <x:f>IF(OR(E26&lt;&gt;"Active",Q26=0),"-",R26/Q26)</x:f>
        <x:v>15.625</x:v>
      </x:c>
      <x:c r="T26" s="16" t="n">
        <x:v>10</x:v>
      </x:c>
    </x:row>
    <x:row r="27" ht="24" customHeight="1">
      <x:c r="A27" s="7" t="str">
        <x:v>Zephrine</x:v>
      </x:c>
      <x:c r="B27" s="7" t="str">
        <x:v>Enterprise SaaS</x:v>
      </x:c>
      <x:c r="C27" s="7" t="str">
        <x:v>Fund III</x:v>
      </x:c>
      <x:c r="D27" s="7" t="str">
        <x:v>Seed</x:v>
      </x:c>
      <x:c r="E27" s="7" t="str">
        <x:v>Active</x:v>
      </x:c>
      <x:c r="F27" s="9" t="n">
        <x:v>45336</x:v>
      </x:c>
      <x:c r="G27" s="9" t="n">
        <x:v>45336</x:v>
      </x:c>
      <x:c r="H27" s="13" t="n">
        <x:v>9.3</x:v>
      </x:c>
      <x:c r="I27" s="13" t="n">
        <x:v>2.5</x:v>
      </x:c>
      <x:c r="J27" s="11" t="n">
        <x:v>0.116</x:v>
      </x:c>
      <x:c r="K27" s="13" t="n">
        <x:v>1.1</x:v>
      </x:c>
      <x:c r="L27" s="13" t="n">
        <x:v>0</x:v>
      </x:c>
      <x:c r="M27" s="15" t="n">
        <x:f>IF(I27=0,0,(K27+L27)/I27)</x:f>
        <x:v>0.44000000000000006</x:v>
      </x:c>
      <x:c r="N27" s="13" t="n">
        <x:v>1.5</x:v>
      </x:c>
      <x:c r="O27" s="11" t="n">
        <x:v>1.02</x:v>
      </x:c>
      <x:c r="P27" s="11" t="n">
        <x:v>0.75</x:v>
      </x:c>
      <x:c r="Q27" s="13" t="n">
        <x:v>0.21</x:v>
      </x:c>
      <x:c r="R27" s="13" t="n">
        <x:v>6.9</x:v>
      </x:c>
      <x:c r="S27" s="13" t="n">
        <x:f>IF(OR(E27&lt;&gt;"Active",Q27=0),"-",R27/Q27)</x:f>
        <x:v>32.85714285714286</x:v>
      </x:c>
      <x:c r="T27" s="17" t="n">
        <x:v>20</x:v>
      </x:c>
    </x:row>
    <x:row r="28" ht="24" customHeight="1">
      <x:c r="A28" s="3" t="str">
        <x:v>Arcfoundry</x:v>
      </x:c>
      <x:c r="B28" s="3" t="str">
        <x:v>Developer Tools</x:v>
      </x:c>
      <x:c r="C28" s="3" t="str">
        <x:v>Fund III</x:v>
      </x:c>
      <x:c r="D28" s="3" t="str">
        <x:v>Seed</x:v>
      </x:c>
      <x:c r="E28" s="3" t="str">
        <x:v>Active</x:v>
      </x:c>
      <x:c r="F28" s="8" t="n">
        <x:v>45240</x:v>
      </x:c>
      <x:c r="G28" s="8" t="n">
        <x:v>45240</x:v>
      </x:c>
      <x:c r="H28" s="12" t="n">
        <x:v>21.2</x:v>
      </x:c>
      <x:c r="I28" s="12" t="n">
        <x:v>1.5</x:v>
      </x:c>
      <x:c r="J28" s="10" t="n">
        <x:v>0.064</x:v>
      </x:c>
      <x:c r="K28" s="12" t="n">
        <x:v>1.4</x:v>
      </x:c>
      <x:c r="L28" s="12" t="n">
        <x:v>0</x:v>
      </x:c>
      <x:c r="M28" s="14" t="n">
        <x:f>IF(I28=0,0,(K28+L28)/I28)</x:f>
        <x:v>0.9333333333333332</x:v>
      </x:c>
      <x:c r="N28" s="12" t="n">
        <x:v>0.7</x:v>
      </x:c>
      <x:c r="O28" s="10" t="n">
        <x:v>2.7</x:v>
      </x:c>
      <x:c r="P28" s="10" t="n">
        <x:v>0.81</x:v>
      </x:c>
      <x:c r="Q28" s="12" t="n">
        <x:v>0.3</x:v>
      </x:c>
      <x:c r="R28" s="12" t="n">
        <x:v>8.7</x:v>
      </x:c>
      <x:c r="S28" s="12" t="n">
        <x:f>IF(OR(E28&lt;&gt;"Active",Q28=0),"-",R28/Q28)</x:f>
        <x:v>29</x:v>
      </x:c>
      <x:c r="T28" s="16" t="n">
        <x:v>21</x:v>
      </x:c>
    </x:row>
    <x:row r="29" ht="24" customHeight="1">
      <x:c r="A29" s="7" t="str">
        <x:v>Brumewell</x:v>
      </x:c>
      <x:c r="B29" s="7" t="str">
        <x:v>AI/ML</x:v>
      </x:c>
      <x:c r="C29" s="7" t="str">
        <x:v>Fund II</x:v>
      </x:c>
      <x:c r="D29" s="7" t="str">
        <x:v>Series B</x:v>
      </x:c>
      <x:c r="E29" s="7" t="str">
        <x:v>Active</x:v>
      </x:c>
      <x:c r="F29" s="9" t="n">
        <x:v>44959</x:v>
      </x:c>
      <x:c r="G29" s="9" t="n">
        <x:v>45467</x:v>
      </x:c>
      <x:c r="H29" s="13" t="n">
        <x:v>246.7</x:v>
      </x:c>
      <x:c r="I29" s="13" t="n">
        <x:v>10</x:v>
      </x:c>
      <x:c r="J29" s="11" t="n">
        <x:v>0.075</x:v>
      </x:c>
      <x:c r="K29" s="13" t="n">
        <x:v>18.5</x:v>
      </x:c>
      <x:c r="L29" s="13" t="n">
        <x:v>0</x:v>
      </x:c>
      <x:c r="M29" s="15" t="n">
        <x:f>IF(I29=0,0,(K29+L29)/I29)</x:f>
        <x:v>1.85</x:v>
      </x:c>
      <x:c r="N29" s="13" t="n">
        <x:v>12</x:v>
      </x:c>
      <x:c r="O29" s="11" t="n">
        <x:v>-0.21</x:v>
      </x:c>
      <x:c r="P29" s="11" t="n">
        <x:v>0.59</x:v>
      </x:c>
      <x:c r="Q29" s="13" t="n">
        <x:v>1.88</x:v>
      </x:c>
      <x:c r="R29" s="13" t="n">
        <x:v>47.2</x:v>
      </x:c>
      <x:c r="S29" s="13" t="n">
        <x:f>IF(OR(E29&lt;&gt;"Active",Q29=0),"-",R29/Q29)</x:f>
        <x:v>25.106382978723406</x:v>
      </x:c>
      <x:c r="T29" s="17" t="n">
        <x:v>195</x:v>
      </x:c>
    </x:row>
    <x:row r="30" ht="24" customHeight="1">
      <x:c r="A30" s="3" t="str">
        <x:v>Cascabel Labs</x:v>
      </x:c>
      <x:c r="B30" s="3" t="str">
        <x:v>AI/ML</x:v>
      </x:c>
      <x:c r="C30" s="3" t="str">
        <x:v>Fund II</x:v>
      </x:c>
      <x:c r="D30" s="3" t="str">
        <x:v>Series A</x:v>
      </x:c>
      <x:c r="E30" s="3" t="str">
        <x:v>Active</x:v>
      </x:c>
      <x:c r="F30" s="8" t="n">
        <x:v>45176</x:v>
      </x:c>
      <x:c r="G30" s="8" t="n">
        <x:v>45648</x:v>
      </x:c>
      <x:c r="H30" s="12" t="n">
        <x:v>86.2</x:v>
      </x:c>
      <x:c r="I30" s="12" t="n">
        <x:v>4.1</x:v>
      </x:c>
      <x:c r="J30" s="10" t="n">
        <x:v>0.072</x:v>
      </x:c>
      <x:c r="K30" s="12" t="n">
        <x:v>6.2</x:v>
      </x:c>
      <x:c r="L30" s="12" t="n">
        <x:v>0</x:v>
      </x:c>
      <x:c r="M30" s="14" t="n">
        <x:f>IF(I30=0,0,(K30+L30)/I30)</x:f>
        <x:v>1.5121951219512197</x:v>
      </x:c>
      <x:c r="N30" s="12" t="n">
        <x:v>1.6</x:v>
      </x:c>
      <x:c r="O30" s="10" t="n">
        <x:v>1.94</x:v>
      </x:c>
      <x:c r="P30" s="10" t="n">
        <x:v>0.68</x:v>
      </x:c>
      <x:c r="Q30" s="12" t="n">
        <x:v>0.77</x:v>
      </x:c>
      <x:c r="R30" s="12" t="n">
        <x:v>14.1</x:v>
      </x:c>
      <x:c r="S30" s="12" t="n">
        <x:f>IF(OR(E30&lt;&gt;"Active",Q30=0),"-",R30/Q30)</x:f>
        <x:v>18.31168831168831</x:v>
      </x:c>
      <x:c r="T30" s="16" t="n">
        <x:v>49</x:v>
      </x:c>
    </x:row>
    <x:row r="31" ht="24" customHeight="1">
      <x:c r="A31" s="7" t="str">
        <x:v>Drayvenn</x:v>
      </x:c>
      <x:c r="B31" s="7" t="str">
        <x:v>Space &amp; Defense</x:v>
      </x:c>
      <x:c r="C31" s="7" t="str">
        <x:v>Fund I</x:v>
      </x:c>
      <x:c r="D31" s="7" t="str">
        <x:v>Series D+</x:v>
      </x:c>
      <x:c r="E31" s="7" t="str">
        <x:v>Active</x:v>
      </x:c>
      <x:c r="F31" s="9" t="n">
        <x:v>44208</x:v>
      </x:c>
      <x:c r="G31" s="9" t="n">
        <x:v>45236</x:v>
      </x:c>
      <x:c r="H31" s="13" t="n">
        <x:v>2362.7</x:v>
      </x:c>
      <x:c r="I31" s="13" t="n">
        <x:v>20</x:v>
      </x:c>
      <x:c r="J31" s="11" t="n">
        <x:v>0.034</x:v>
      </x:c>
      <x:c r="K31" s="13" t="n">
        <x:v>80.3</x:v>
      </x:c>
      <x:c r="L31" s="13" t="n">
        <x:v>0</x:v>
      </x:c>
      <x:c r="M31" s="15" t="n">
        <x:f>IF(I31=0,0,(K31+L31)/I31)</x:f>
        <x:v>4.015</x:v>
      </x:c>
      <x:c r="N31" s="13" t="n">
        <x:v>148.9</x:v>
      </x:c>
      <x:c r="O31" s="11" t="n">
        <x:v>0.43</x:v>
      </x:c>
      <x:c r="P31" s="11" t="n">
        <x:v>0.46</x:v>
      </x:c>
      <x:c r="Q31" s="13" t="n">
        <x:v>1.51</x:v>
      </x:c>
      <x:c r="R31" s="13" t="n">
        <x:v>40.3</x:v>
      </x:c>
      <x:c r="S31" s="13" t="n">
        <x:f>IF(OR(E31&lt;&gt;"Active",Q31=0),"-",R31/Q31)</x:f>
        <x:v>26.688741721854303</x:v>
      </x:c>
      <x:c r="T31" s="17" t="n">
        <x:v>1413</x:v>
      </x:c>
    </x:row>
    <x:row r="32" ht="24" customHeight="1">
      <x:c r="A32" s="3" t="str">
        <x:v>Eastport Compute</x:v>
      </x:c>
      <x:c r="B32" s="3" t="str">
        <x:v>Enterprise SaaS</x:v>
      </x:c>
      <x:c r="C32" s="3" t="str">
        <x:v>Fund III</x:v>
      </x:c>
      <x:c r="D32" s="3" t="str">
        <x:v>Series A</x:v>
      </x:c>
      <x:c r="E32" s="3" t="str">
        <x:v>Active</x:v>
      </x:c>
      <x:c r="F32" s="8" t="n">
        <x:v>45618</x:v>
      </x:c>
      <x:c r="G32" s="8" t="n">
        <x:v>45898</x:v>
      </x:c>
      <x:c r="H32" s="12" t="n">
        <x:v>14.2</x:v>
      </x:c>
      <x:c r="I32" s="12" t="n">
        <x:v>6</x:v>
      </x:c>
      <x:c r="J32" s="10" t="n">
        <x:v>0.122</x:v>
      </x:c>
      <x:c r="K32" s="12" t="n">
        <x:v>1.7</x:v>
      </x:c>
      <x:c r="L32" s="12" t="n">
        <x:v>0</x:v>
      </x:c>
      <x:c r="M32" s="14" t="n">
        <x:f>IF(I32=0,0,(K32+L32)/I32)</x:f>
        <x:v>0.2833333333333333</x:v>
      </x:c>
      <x:c r="N32" s="12" t="n">
        <x:v>6.1</x:v>
      </x:c>
      <x:c r="O32" s="10" t="n">
        <x:v>0.42</x:v>
      </x:c>
      <x:c r="P32" s="10" t="n">
        <x:v>0.84</x:v>
      </x:c>
      <x:c r="Q32" s="12" t="n">
        <x:v>0.55</x:v>
      </x:c>
      <x:c r="R32" s="12" t="n">
        <x:v>11.6</x:v>
      </x:c>
      <x:c r="S32" s="12" t="n">
        <x:f>IF(OR(E32&lt;&gt;"Active",Q32=0),"-",R32/Q32)</x:f>
        <x:v>21.09090909090909</x:v>
      </x:c>
      <x:c r="T32" s="16" t="n">
        <x:v>22</x:v>
      </x:c>
    </x:row>
    <x:row r="33" ht="24" customHeight="1">
      <x:c r="A33" s="7" t="str">
        <x:v>Fallowmere</x:v>
      </x:c>
      <x:c r="B33" s="7" t="str">
        <x:v>Data &amp; Analytics</x:v>
      </x:c>
      <x:c r="C33" s="7" t="str">
        <x:v>Fund I</x:v>
      </x:c>
      <x:c r="D33" s="7" t="str">
        <x:v>Series B</x:v>
      </x:c>
      <x:c r="E33" s="7" t="str">
        <x:v>Active</x:v>
      </x:c>
      <x:c r="F33" s="9" t="n">
        <x:v>44139</x:v>
      </x:c>
      <x:c r="G33" s="9" t="n">
        <x:v>45342</x:v>
      </x:c>
      <x:c r="H33" s="13" t="n">
        <x:v>258.1</x:v>
      </x:c>
      <x:c r="I33" s="13" t="n">
        <x:v>4</x:v>
      </x:c>
      <x:c r="J33" s="11" t="n">
        <x:v>0.04</x:v>
      </x:c>
      <x:c r="K33" s="13" t="n">
        <x:v>10.3</x:v>
      </x:c>
      <x:c r="L33" s="13" t="n">
        <x:v>0</x:v>
      </x:c>
      <x:c r="M33" s="15" t="n">
        <x:f>IF(I33=0,0,(K33+L33)/I33)</x:f>
        <x:v>2.575</x:v>
      </x:c>
      <x:c r="N33" s="13" t="n">
        <x:v>21.4</x:v>
      </x:c>
      <x:c r="O33" s="11" t="n">
        <x:v>1.14</x:v>
      </x:c>
      <x:c r="P33" s="11" t="n">
        <x:v>0.63</x:v>
      </x:c>
      <x:c r="Q33" s="13" t="n">
        <x:v>1.18</x:v>
      </x:c>
      <x:c r="R33" s="13" t="n">
        <x:v>30.5</x:v>
      </x:c>
      <x:c r="S33" s="13" t="n">
        <x:f>IF(OR(E33&lt;&gt;"Active",Q33=0),"-",R33/Q33)</x:f>
        <x:v>25.847457627118647</x:v>
      </x:c>
      <x:c r="T33" s="17" t="n">
        <x:v>143</x:v>
      </x:c>
    </x:row>
    <x:row r="34" ht="24" customHeight="1">
      <x:c r="A34" s="3" t="str">
        <x:v>Glintworks</x:v>
      </x:c>
      <x:c r="B34" s="3" t="str">
        <x:v>Fintech</x:v>
      </x:c>
      <x:c r="C34" s="3" t="str">
        <x:v>Fund I</x:v>
      </x:c>
      <x:c r="D34" s="3" t="str">
        <x:v>Series C</x:v>
      </x:c>
      <x:c r="E34" s="3" t="str">
        <x:v>Active</x:v>
      </x:c>
      <x:c r="F34" s="8" t="n">
        <x:v>43583</x:v>
      </x:c>
      <x:c r="G34" s="8" t="n">
        <x:v>45116</x:v>
      </x:c>
      <x:c r="H34" s="12" t="n">
        <x:v>326</x:v>
      </x:c>
      <x:c r="I34" s="12" t="n">
        <x:v>14</x:v>
      </x:c>
      <x:c r="J34" s="10" t="n">
        <x:v>0.044</x:v>
      </x:c>
      <x:c r="K34" s="12" t="n">
        <x:v>14.3</x:v>
      </x:c>
      <x:c r="L34" s="12" t="n">
        <x:v>0</x:v>
      </x:c>
      <x:c r="M34" s="14" t="n">
        <x:f>IF(I34=0,0,(K34+L34)/I34)</x:f>
        <x:v>1.0214285714285716</x:v>
      </x:c>
      <x:c r="N34" s="12" t="n">
        <x:v>39.1</x:v>
      </x:c>
      <x:c r="O34" s="10" t="n">
        <x:v>0.73</x:v>
      </x:c>
      <x:c r="P34" s="10" t="n">
        <x:v>0.5</x:v>
      </x:c>
      <x:c r="Q34" s="12" t="n">
        <x:v>1.89</x:v>
      </x:c>
      <x:c r="R34" s="12" t="n">
        <x:v>53.9</x:v>
      </x:c>
      <x:c r="S34" s="12" t="n">
        <x:f>IF(OR(E34&lt;&gt;"Active",Q34=0),"-",R34/Q34)</x:f>
        <x:v>28.51851851851852</x:v>
      </x:c>
      <x:c r="T34" s="16" t="n">
        <x:v>571</x:v>
      </x:c>
    </x:row>
    <x:row r="35" ht="24" customHeight="1">
      <x:c r="A35" s="7" t="str">
        <x:v>Hollowpine Robotics</x:v>
      </x:c>
      <x:c r="B35" s="7" t="str">
        <x:v>AI/ML</x:v>
      </x:c>
      <x:c r="C35" s="7" t="str">
        <x:v>Fund II</x:v>
      </x:c>
      <x:c r="D35" s="7" t="str">
        <x:v>Series C</x:v>
      </x:c>
      <x:c r="E35" s="7" t="str">
        <x:v>Active</x:v>
      </x:c>
      <x:c r="F35" s="9" t="n">
        <x:v>44959</x:v>
      </x:c>
      <x:c r="G35" s="9" t="n">
        <x:v>45272</x:v>
      </x:c>
      <x:c r="H35" s="13" t="n">
        <x:v>780.4</x:v>
      </x:c>
      <x:c r="I35" s="13" t="n">
        <x:v>11.9</x:v>
      </x:c>
      <x:c r="J35" s="11" t="n">
        <x:v>0.039</x:v>
      </x:c>
      <x:c r="K35" s="13" t="n">
        <x:v>30.4</x:v>
      </x:c>
      <x:c r="L35" s="13" t="n">
        <x:v>0</x:v>
      </x:c>
      <x:c r="M35" s="15" t="n">
        <x:f>IF(I35=0,0,(K35+L35)/I35)</x:f>
        <x:v>2.5546218487394956</x:v>
      </x:c>
      <x:c r="N35" s="13" t="n">
        <x:v>74.7</x:v>
      </x:c>
      <x:c r="O35" s="11" t="n">
        <x:v>0.62</x:v>
      </x:c>
      <x:c r="P35" s="11" t="n">
        <x:v>0.7</x:v>
      </x:c>
      <x:c r="Q35" s="13" t="n">
        <x:v>1.77</x:v>
      </x:c>
      <x:c r="R35" s="13" t="n">
        <x:v>43.1</x:v>
      </x:c>
      <x:c r="S35" s="13" t="n">
        <x:f>IF(OR(E35&lt;&gt;"Active",Q35=0),"-",R35/Q35)</x:f>
        <x:v>24.350282485875706</x:v>
      </x:c>
      <x:c r="T35" s="17" t="n">
        <x:v>412</x:v>
      </x:c>
    </x:row>
    <x:row r="36" ht="24" customHeight="1">
      <x:c r="A36" s="3" t="str">
        <x:v>Isoquill</x:v>
      </x:c>
      <x:c r="B36" s="3" t="str">
        <x:v>AI/ML</x:v>
      </x:c>
      <x:c r="C36" s="3" t="str">
        <x:v>Fund I</x:v>
      </x:c>
      <x:c r="D36" s="3" t="str">
        <x:v>Series B</x:v>
      </x:c>
      <x:c r="E36" s="3" t="str">
        <x:v>Active</x:v>
      </x:c>
      <x:c r="F36" s="8" t="n">
        <x:v>43773</x:v>
      </x:c>
      <x:c r="G36" s="8" t="n">
        <x:v>44856</x:v>
      </x:c>
      <x:c r="H36" s="12" t="n">
        <x:v>261.2</x:v>
      </x:c>
      <x:c r="I36" s="12" t="n">
        <x:v>10</x:v>
      </x:c>
      <x:c r="J36" s="10" t="n">
        <x:v>0.056</x:v>
      </x:c>
      <x:c r="K36" s="12" t="n">
        <x:v>14.6</x:v>
      </x:c>
      <x:c r="L36" s="12" t="n">
        <x:v>0</x:v>
      </x:c>
      <x:c r="M36" s="14" t="n">
        <x:f>IF(I36=0,0,(K36+L36)/I36)</x:f>
        <x:v>1.46</x:v>
      </x:c>
      <x:c r="N36" s="12" t="n">
        <x:v>26.1</x:v>
      </x:c>
      <x:c r="O36" s="10" t="n">
        <x:v>0.78</x:v>
      </x:c>
      <x:c r="P36" s="10" t="n">
        <x:v>0.63</x:v>
      </x:c>
      <x:c r="Q36" s="12" t="n">
        <x:v>1.74</x:v>
      </x:c>
      <x:c r="R36" s="12" t="n">
        <x:v>35.5</x:v>
      </x:c>
      <x:c r="S36" s="12" t="n">
        <x:f>IF(OR(E36&lt;&gt;"Active",Q36=0),"-",R36/Q36)</x:f>
        <x:v>20.402298850574713</x:v>
      </x:c>
      <x:c r="T36" s="16" t="n">
        <x:v>120</x:v>
      </x:c>
    </x:row>
    <x:row r="37" ht="24" customHeight="1">
      <x:c r="A37" s="7" t="str">
        <x:v>Jupelan</x:v>
      </x:c>
      <x:c r="B37" s="7" t="str">
        <x:v>Cybersecurity</x:v>
      </x:c>
      <x:c r="C37" s="7" t="str">
        <x:v>Fund II</x:v>
      </x:c>
      <x:c r="D37" s="7" t="str">
        <x:v>Series B</x:v>
      </x:c>
      <x:c r="E37" s="7" t="str">
        <x:v>Active</x:v>
      </x:c>
      <x:c r="F37" s="9" t="n">
        <x:v>45072</x:v>
      </x:c>
      <x:c r="G37" s="9" t="n">
        <x:v>45354</x:v>
      </x:c>
      <x:c r="H37" s="13" t="n">
        <x:v>192.9</x:v>
      </x:c>
      <x:c r="I37" s="13" t="n">
        <x:v>10</x:v>
      </x:c>
      <x:c r="J37" s="11" t="n">
        <x:v>0.074</x:v>
      </x:c>
      <x:c r="K37" s="13" t="n">
        <x:v>14.3</x:v>
      </x:c>
      <x:c r="L37" s="13" t="n">
        <x:v>0</x:v>
      </x:c>
      <x:c r="M37" s="15" t="n">
        <x:f>IF(I37=0,0,(K37+L37)/I37)</x:f>
        <x:v>1.4300000000000002</x:v>
      </x:c>
      <x:c r="N37" s="13" t="n">
        <x:v>28.6</x:v>
      </x:c>
      <x:c r="O37" s="11" t="n">
        <x:v>0.84</x:v>
      </x:c>
      <x:c r="P37" s="11" t="n">
        <x:v>0.74</x:v>
      </x:c>
      <x:c r="Q37" s="13" t="n">
        <x:v>1.5</x:v>
      </x:c>
      <x:c r="R37" s="13" t="n">
        <x:v>6.6</x:v>
      </x:c>
      <x:c r="S37" s="13" t="n">
        <x:f>IF(OR(E37&lt;&gt;"Active",Q37=0),"-",R37/Q37)</x:f>
        <x:v>4.3999999999999995</x:v>
      </x:c>
      <x:c r="T37" s="17" t="n">
        <x:v>185</x:v>
      </x:c>
    </x:row>
    <x:row r="38" ht="24" customHeight="1">
      <x:c r="A38" s="3" t="str">
        <x:v>Kestwick</x:v>
      </x:c>
      <x:c r="B38" s="3" t="str">
        <x:v>Fintech</x:v>
      </x:c>
      <x:c r="C38" s="3" t="str">
        <x:v>Fund III</x:v>
      </x:c>
      <x:c r="D38" s="3" t="str">
        <x:v>Seed</x:v>
      </x:c>
      <x:c r="E38" s="3" t="str">
        <x:v>Active</x:v>
      </x:c>
      <x:c r="F38" s="8" t="n">
        <x:v>45451</x:v>
      </x:c>
      <x:c r="G38" s="8" t="n">
        <x:v>45451</x:v>
      </x:c>
      <x:c r="H38" s="12" t="n">
        <x:v>12</x:v>
      </x:c>
      <x:c r="I38" s="12" t="n">
        <x:v>1.1</x:v>
      </x:c>
      <x:c r="J38" s="10" t="n">
        <x:v>0.078</x:v>
      </x:c>
      <x:c r="K38" s="12" t="n">
        <x:v>0.9</x:v>
      </x:c>
      <x:c r="L38" s="12" t="n">
        <x:v>0</x:v>
      </x:c>
      <x:c r="M38" s="14" t="n">
        <x:f>IF(I38=0,0,(K38+L38)/I38)</x:f>
        <x:v>0.8181818181818181</x:v>
      </x:c>
      <x:c r="N38" s="12" t="n">
        <x:v>0.6</x:v>
      </x:c>
      <x:c r="O38" s="10" t="n">
        <x:v>3</x:v>
      </x:c>
      <x:c r="P38" s="10" t="n">
        <x:v>0.54</x:v>
      </x:c>
      <x:c r="Q38" s="12" t="n">
        <x:v>0.2</x:v>
      </x:c>
      <x:c r="R38" s="12" t="n">
        <x:v>4.1</x:v>
      </x:c>
      <x:c r="S38" s="12" t="n">
        <x:f>IF(OR(E38&lt;&gt;"Active",Q38=0),"-",R38/Q38)</x:f>
        <x:v>20.499999999999996</x:v>
      </x:c>
      <x:c r="T38" s="16" t="n">
        <x:v>16</x:v>
      </x:c>
    </x:row>
    <x:row r="39" ht="24" customHeight="1">
      <x:c r="A39" s="7" t="str">
        <x:v>Larkspell</x:v>
      </x:c>
      <x:c r="B39" s="7" t="str">
        <x:v>Consumer</x:v>
      </x:c>
      <x:c r="C39" s="7" t="str">
        <x:v>Fund II</x:v>
      </x:c>
      <x:c r="D39" s="7" t="str">
        <x:v>Series A</x:v>
      </x:c>
      <x:c r="E39" s="7" t="str">
        <x:v>Active</x:v>
      </x:c>
      <x:c r="F39" s="9" t="n">
        <x:v>44580</x:v>
      </x:c>
      <x:c r="G39" s="9" t="n">
        <x:v>45607</x:v>
      </x:c>
      <x:c r="H39" s="13" t="n">
        <x:v>86.9</x:v>
      </x:c>
      <x:c r="I39" s="13" t="n">
        <x:v>6</x:v>
      </x:c>
      <x:c r="J39" s="11" t="n">
        <x:v>0.131</x:v>
      </x:c>
      <x:c r="K39" s="13" t="n">
        <x:v>11.4</x:v>
      </x:c>
      <x:c r="L39" s="13" t="n">
        <x:v>0</x:v>
      </x:c>
      <x:c r="M39" s="15" t="n">
        <x:f>IF(I39=0,0,(K39+L39)/I39)</x:f>
        <x:v>1.9000000000000001</x:v>
      </x:c>
      <x:c r="N39" s="13" t="n">
        <x:v>2.9</x:v>
      </x:c>
      <x:c r="O39" s="11" t="n">
        <x:v>1.82</x:v>
      </x:c>
      <x:c r="P39" s="11" t="n">
        <x:v>0.47</x:v>
      </x:c>
      <x:c r="Q39" s="13" t="n">
        <x:v>0.7</x:v>
      </x:c>
      <x:c r="R39" s="13" t="n">
        <x:v>4</x:v>
      </x:c>
      <x:c r="S39" s="13" t="n">
        <x:f>IF(OR(E39&lt;&gt;"Active",Q39=0),"-",R39/Q39)</x:f>
        <x:v>5.714285714285714</x:v>
      </x:c>
      <x:c r="T39" s="17" t="n">
        <x:v>31</x:v>
      </x:c>
    </x:row>
    <x:row r="40" ht="24" customHeight="1">
      <x:c r="A40" s="3" t="str">
        <x:v>Mossbriar Bio</x:v>
      </x:c>
      <x:c r="B40" s="3" t="str">
        <x:v>Developer Tools</x:v>
      </x:c>
      <x:c r="C40" s="3" t="str">
        <x:v>Fund II</x:v>
      </x:c>
      <x:c r="D40" s="3" t="str">
        <x:v>Series D+</x:v>
      </x:c>
      <x:c r="E40" s="3" t="str">
        <x:v>Active</x:v>
      </x:c>
      <x:c r="F40" s="8" t="n">
        <x:v>45090</x:v>
      </x:c>
      <x:c r="G40" s="8" t="n">
        <x:v>45497</x:v>
      </x:c>
      <x:c r="H40" s="12" t="n">
        <x:v>2012.1</x:v>
      </x:c>
      <x:c r="I40" s="12" t="n">
        <x:v>16</x:v>
      </x:c>
      <x:c r="J40" s="10" t="n">
        <x:v>0.015</x:v>
      </x:c>
      <x:c r="K40" s="12" t="n">
        <x:v>30.2</x:v>
      </x:c>
      <x:c r="L40" s="12" t="n">
        <x:v>0</x:v>
      </x:c>
      <x:c r="M40" s="14" t="n">
        <x:f>IF(I40=0,0,(K40+L40)/I40)</x:f>
        <x:v>1.8875</x:v>
      </x:c>
      <x:c r="N40" s="12" t="n">
        <x:v>227.3</x:v>
      </x:c>
      <x:c r="O40" s="10" t="n">
        <x:v>0.48</x:v>
      </x:c>
      <x:c r="P40" s="10" t="n">
        <x:v>0.76</x:v>
      </x:c>
      <x:c r="Q40" s="12" t="n">
        <x:v>3.46</x:v>
      </x:c>
      <x:c r="R40" s="12" t="n">
        <x:v>76.3</x:v>
      </x:c>
      <x:c r="S40" s="12" t="n">
        <x:f>IF(OR(E40&lt;&gt;"Active",Q40=0),"-",R40/Q40)</x:f>
        <x:v>22.052023121387283</x:v>
      </x:c>
      <x:c r="T40" s="16" t="n">
        <x:v>906</x:v>
      </x:c>
    </x:row>
    <x:row r="41" ht="24" customHeight="1">
      <x:c r="A41" s="7" t="str">
        <x:v>Nightloom Security</x:v>
      </x:c>
      <x:c r="B41" s="7" t="str">
        <x:v>Enterprise SaaS</x:v>
      </x:c>
      <x:c r="C41" s="7" t="str">
        <x:v>Fund II</x:v>
      </x:c>
      <x:c r="D41" s="7" t="str">
        <x:v>Seed</x:v>
      </x:c>
      <x:c r="E41" s="7" t="str">
        <x:v>Active</x:v>
      </x:c>
      <x:c r="F41" s="9" t="n">
        <x:v>45055</x:v>
      </x:c>
      <x:c r="G41" s="9" t="n">
        <x:v>45055</x:v>
      </x:c>
      <x:c r="H41" s="13" t="n">
        <x:v>9.8</x:v>
      </x:c>
      <x:c r="I41" s="13" t="n">
        <x:v>1.1</x:v>
      </x:c>
      <x:c r="J41" s="11" t="n">
        <x:v>0.079</x:v>
      </x:c>
      <x:c r="K41" s="13" t="n">
        <x:v>0.8</x:v>
      </x:c>
      <x:c r="L41" s="13" t="n">
        <x:v>0</x:v>
      </x:c>
      <x:c r="M41" s="15" t="n">
        <x:f>IF(I41=0,0,(K41+L41)/I41)</x:f>
        <x:v>0.7272727272727273</x:v>
      </x:c>
      <x:c r="N41" s="13" t="n">
        <x:v>1.2</x:v>
      </x:c>
      <x:c r="O41" s="11" t="n">
        <x:v>0.64</x:v>
      </x:c>
      <x:c r="P41" s="11" t="n">
        <x:v>0.8</x:v>
      </x:c>
      <x:c r="Q41" s="13" t="n">
        <x:v>0.3</x:v>
      </x:c>
      <x:c r="R41" s="13" t="n">
        <x:v>6.6</x:v>
      </x:c>
      <x:c r="S41" s="13" t="n">
        <x:f>IF(OR(E41&lt;&gt;"Active",Q41=0),"-",R41/Q41)</x:f>
        <x:v>22</x:v>
      </x:c>
      <x:c r="T41" s="17" t="n">
        <x:v>12</x:v>
      </x:c>
    </x:row>
    <x:row r="42" ht="24" customHeight="1">
      <x:c r="A42" s="3" t="str">
        <x:v>Oakenvale</x:v>
      </x:c>
      <x:c r="B42" s="3" t="str">
        <x:v>Healthcare</x:v>
      </x:c>
      <x:c r="C42" s="3" t="str">
        <x:v>Fund III</x:v>
      </x:c>
      <x:c r="D42" s="3" t="str">
        <x:v>Series A</x:v>
      </x:c>
      <x:c r="E42" s="3" t="str">
        <x:v>Active</x:v>
      </x:c>
      <x:c r="F42" s="8" t="n">
        <x:v>45445</x:v>
      </x:c>
      <x:c r="G42" s="8" t="n">
        <x:v>45679</x:v>
      </x:c>
      <x:c r="H42" s="12" t="n">
        <x:v>71</x:v>
      </x:c>
      <x:c r="I42" s="12" t="n">
        <x:v>5.9</x:v>
      </x:c>
      <x:c r="J42" s="10" t="n">
        <x:v>0.08</x:v>
      </x:c>
      <x:c r="K42" s="12" t="n">
        <x:v>5.7</x:v>
      </x:c>
      <x:c r="L42" s="12" t="n">
        <x:v>0</x:v>
      </x:c>
      <x:c r="M42" s="14" t="n">
        <x:f>IF(I42=0,0,(K42+L42)/I42)</x:f>
        <x:v>0.9661016949152542</x:v>
      </x:c>
      <x:c r="N42" s="12" t="n">
        <x:v>3.6</x:v>
      </x:c>
      <x:c r="O42" s="10" t="n">
        <x:v>-0.08</x:v>
      </x:c>
      <x:c r="P42" s="10" t="n">
        <x:v>0.51</x:v>
      </x:c>
      <x:c r="Q42" s="12" t="n">
        <x:v>0.56</x:v>
      </x:c>
      <x:c r="R42" s="12" t="n">
        <x:v>13.2</x:v>
      </x:c>
      <x:c r="S42" s="12" t="n">
        <x:f>IF(OR(E42&lt;&gt;"Active",Q42=0),"-",R42/Q42)</x:f>
        <x:v>23.57142857142857</x:v>
      </x:c>
      <x:c r="T42" s="16" t="n">
        <x:v>64</x:v>
      </x:c>
    </x:row>
    <x:row r="43" ht="24" customHeight="1">
      <x:c r="A43" s="7" t="str">
        <x:v>Pinwhistle</x:v>
      </x:c>
      <x:c r="B43" s="7" t="str">
        <x:v>Cybersecurity</x:v>
      </x:c>
      <x:c r="C43" s="7" t="str">
        <x:v>Fund II</x:v>
      </x:c>
      <x:c r="D43" s="7" t="str">
        <x:v>Series A</x:v>
      </x:c>
      <x:c r="E43" s="7" t="str">
        <x:v>Active</x:v>
      </x:c>
      <x:c r="F43" s="9" t="n">
        <x:v>44896</x:v>
      </x:c>
      <x:c r="G43" s="9" t="n">
        <x:v>45278</x:v>
      </x:c>
      <x:c r="H43" s="13" t="n">
        <x:v>87.7</x:v>
      </x:c>
      <x:c r="I43" s="13" t="n">
        <x:v>6</x:v>
      </x:c>
      <x:c r="J43" s="11" t="n">
        <x:v>0.083</x:v>
      </x:c>
      <x:c r="K43" s="13" t="n">
        <x:v>7.3</x:v>
      </x:c>
      <x:c r="L43" s="13" t="n">
        <x:v>0</x:v>
      </x:c>
      <x:c r="M43" s="15" t="n">
        <x:f>IF(I43=0,0,(K43+L43)/I43)</x:f>
        <x:v>1.2166666666666666</x:v>
      </x:c>
      <x:c r="N43" s="13" t="n">
        <x:v>2.8</x:v>
      </x:c>
      <x:c r="O43" s="11" t="n">
        <x:v>0.51</x:v>
      </x:c>
      <x:c r="P43" s="11" t="n">
        <x:v>0.72</x:v>
      </x:c>
      <x:c r="Q43" s="13" t="n">
        <x:v>0.75</x:v>
      </x:c>
      <x:c r="R43" s="13" t="n">
        <x:v>20.8</x:v>
      </x:c>
      <x:c r="S43" s="13" t="n">
        <x:f>IF(OR(E43&lt;&gt;"Active",Q43=0),"-",R43/Q43)</x:f>
        <x:v>27.733333333333334</x:v>
      </x:c>
      <x:c r="T43" s="17" t="n">
        <x:v>30</x:v>
      </x:c>
    </x:row>
    <x:row r="44" ht="24" customHeight="1">
      <x:c r="A44" s="3" t="str">
        <x:v>Quarrystone AI</x:v>
      </x:c>
      <x:c r="B44" s="3" t="str">
        <x:v>AI/ML</x:v>
      </x:c>
      <x:c r="C44" s="3" t="str">
        <x:v>Fund III</x:v>
      </x:c>
      <x:c r="D44" s="3" t="str">
        <x:v>Seed</x:v>
      </x:c>
      <x:c r="E44" s="3" t="str">
        <x:v>Active</x:v>
      </x:c>
      <x:c r="F44" s="8" t="n">
        <x:v>46009</x:v>
      </x:c>
      <x:c r="G44" s="8" t="n">
        <x:v>46009</x:v>
      </x:c>
      <x:c r="H44" s="12" t="n">
        <x:v>15.1</x:v>
      </x:c>
      <x:c r="I44" s="12" t="n">
        <x:v>1.8</x:v>
      </x:c>
      <x:c r="J44" s="10" t="n">
        <x:v>0.106</x:v>
      </x:c>
      <x:c r="K44" s="12" t="n">
        <x:v>1.6</x:v>
      </x:c>
      <x:c r="L44" s="12" t="n">
        <x:v>0</x:v>
      </x:c>
      <x:c r="M44" s="14" t="n">
        <x:f>IF(I44=0,0,(K44+L44)/I44)</x:f>
        <x:v>0.888888888888889</x:v>
      </x:c>
      <x:c r="N44" s="12" t="n">
        <x:v>1.4</x:v>
      </x:c>
      <x:c r="O44" s="10" t="n">
        <x:v>-0.32</x:v>
      </x:c>
      <x:c r="P44" s="10" t="n">
        <x:v>0.69</x:v>
      </x:c>
      <x:c r="Q44" s="12" t="n">
        <x:v>0.29</x:v>
      </x:c>
      <x:c r="R44" s="12" t="n">
        <x:v>8.2</x:v>
      </x:c>
      <x:c r="S44" s="12" t="n">
        <x:f>IF(OR(E44&lt;&gt;"Active",Q44=0),"-",R44/Q44)</x:f>
        <x:v>28.275862068965516</x:v>
      </x:c>
      <x:c r="T44" s="16" t="n">
        <x:v>8</x:v>
      </x:c>
    </x:row>
    <x:row r="45" ht="24" customHeight="1">
      <x:c r="A45" s="7" t="str">
        <x:v>Redgrove Health</x:v>
      </x:c>
      <x:c r="B45" s="7" t="str">
        <x:v>Robotics</x:v>
      </x:c>
      <x:c r="C45" s="7" t="str">
        <x:v>Fund II</x:v>
      </x:c>
      <x:c r="D45" s="7" t="str">
        <x:v>Series A</x:v>
      </x:c>
      <x:c r="E45" s="7" t="str">
        <x:v>Active</x:v>
      </x:c>
      <x:c r="F45" s="9" t="n">
        <x:v>44423</x:v>
      </x:c>
      <x:c r="G45" s="9" t="n">
        <x:v>45166</x:v>
      </x:c>
      <x:c r="H45" s="13" t="n">
        <x:v>22.8</x:v>
      </x:c>
      <x:c r="I45" s="13" t="n">
        <x:v>3.9</x:v>
      </x:c>
      <x:c r="J45" s="11" t="n">
        <x:v>0.095</x:v>
      </x:c>
      <x:c r="K45" s="13" t="n">
        <x:v>2.2</x:v>
      </x:c>
      <x:c r="L45" s="13" t="n">
        <x:v>0</x:v>
      </x:c>
      <x:c r="M45" s="15" t="n">
        <x:f>IF(I45=0,0,(K45+L45)/I45)</x:f>
        <x:v>0.5641025641025642</x:v>
      </x:c>
      <x:c r="N45" s="13" t="n">
        <x:v>2</x:v>
      </x:c>
      <x:c r="O45" s="11" t="n">
        <x:v>1.11</x:v>
      </x:c>
      <x:c r="P45" s="11" t="n">
        <x:v>0.39</x:v>
      </x:c>
      <x:c r="Q45" s="13" t="n">
        <x:v>0.34</x:v>
      </x:c>
      <x:c r="R45" s="13" t="n">
        <x:v>5.1</x:v>
      </x:c>
      <x:c r="S45" s="13" t="n">
        <x:f>IF(OR(E45&lt;&gt;"Active",Q45=0),"-",R45/Q45)</x:f>
        <x:v>14.999999999999998</x:v>
      </x:c>
      <x:c r="T45" s="17" t="n">
        <x:v>37</x:v>
      </x:c>
    </x:row>
    <x:row r="46" ht="24" customHeight="1">
      <x:c r="A46" s="3" t="str">
        <x:v>Saltmarsh Analytics</x:v>
      </x:c>
      <x:c r="B46" s="3" t="str">
        <x:v>Infrastructure</x:v>
      </x:c>
      <x:c r="C46" s="3" t="str">
        <x:v>Fund III</x:v>
      </x:c>
      <x:c r="D46" s="3" t="str">
        <x:v>Series A</x:v>
      </x:c>
      <x:c r="E46" s="3" t="str">
        <x:v>Active</x:v>
      </x:c>
      <x:c r="F46" s="8" t="n">
        <x:v>45374</x:v>
      </x:c>
      <x:c r="G46" s="8" t="n">
        <x:v>46168</x:v>
      </x:c>
      <x:c r="H46" s="12" t="n">
        <x:v>87.7</x:v>
      </x:c>
      <x:c r="I46" s="12" t="n">
        <x:v>5.8</x:v>
      </x:c>
      <x:c r="J46" s="10" t="n">
        <x:v>0.062</x:v>
      </x:c>
      <x:c r="K46" s="12" t="n">
        <x:v>5.4</x:v>
      </x:c>
      <x:c r="L46" s="12" t="n">
        <x:v>0</x:v>
      </x:c>
      <x:c r="M46" s="14" t="n">
        <x:f>IF(I46=0,0,(K46+L46)/I46)</x:f>
        <x:v>0.9310344827586208</x:v>
      </x:c>
      <x:c r="N46" s="12" t="n">
        <x:v>2.2</x:v>
      </x:c>
      <x:c r="O46" s="10" t="n">
        <x:v>1.16</x:v>
      </x:c>
      <x:c r="P46" s="10" t="n">
        <x:v>0.45</x:v>
      </x:c>
      <x:c r="Q46" s="12" t="n">
        <x:v>0.55</x:v>
      </x:c>
      <x:c r="R46" s="12" t="n">
        <x:v>8.5</x:v>
      </x:c>
      <x:c r="S46" s="12" t="n">
        <x:f>IF(OR(E46&lt;&gt;"Active",Q46=0),"-",R46/Q46)</x:f>
        <x:v>15.454545454545453</x:v>
      </x:c>
      <x:c r="T46" s="16" t="n">
        <x:v>34</x:v>
      </x:c>
    </x:row>
    <x:row r="47" ht="24" customHeight="1">
      <x:c r="A47" s="7" t="str">
        <x:v>Thistledown Energy</x:v>
      </x:c>
      <x:c r="B47" s="7" t="str">
        <x:v>Healthcare</x:v>
      </x:c>
      <x:c r="C47" s="7" t="str">
        <x:v>Fund III</x:v>
      </x:c>
      <x:c r="D47" s="7" t="str">
        <x:v>Seed</x:v>
      </x:c>
      <x:c r="E47" s="7" t="str">
        <x:v>Active</x:v>
      </x:c>
      <x:c r="F47" s="9" t="n">
        <x:v>45224</x:v>
      </x:c>
      <x:c r="G47" s="9" t="n">
        <x:v>45634</x:v>
      </x:c>
      <x:c r="H47" s="13" t="n">
        <x:v>12</x:v>
      </x:c>
      <x:c r="I47" s="13" t="n">
        <x:v>1</x:v>
      </x:c>
      <x:c r="J47" s="11" t="n">
        <x:v>0.097</x:v>
      </x:c>
      <x:c r="K47" s="13" t="n">
        <x:v>1.2</x:v>
      </x:c>
      <x:c r="L47" s="13" t="n">
        <x:v>0</x:v>
      </x:c>
      <x:c r="M47" s="15" t="n">
        <x:f>IF(I47=0,0,(K47+L47)/I47)</x:f>
        <x:v>1.2</x:v>
      </x:c>
      <x:c r="N47" s="13" t="n">
        <x:v>0.6</x:v>
      </x:c>
      <x:c r="O47" s="11" t="n">
        <x:v>2.54</x:v>
      </x:c>
      <x:c r="P47" s="11" t="n">
        <x:v>0.49</x:v>
      </x:c>
      <x:c r="Q47" s="13" t="n">
        <x:v>0.33</x:v>
      </x:c>
      <x:c r="R47" s="13" t="n">
        <x:v>10.4</x:v>
      </x:c>
      <x:c r="S47" s="13" t="n">
        <x:f>IF(OR(E47&lt;&gt;"Active",Q47=0),"-",R47/Q47)</x:f>
        <x:v>31.515151515151516</x:v>
      </x:c>
      <x:c r="T47" s="17" t="n">
        <x:v>16</x:v>
      </x:c>
    </x:row>
    <x:row r="48" ht="24" customHeight="1">
      <x:c r="A48" s="3" t="str">
        <x:v>Underbough</x:v>
      </x:c>
      <x:c r="B48" s="3" t="str">
        <x:v>Healthcare</x:v>
      </x:c>
      <x:c r="C48" s="3" t="str">
        <x:v>Fund III</x:v>
      </x:c>
      <x:c r="D48" s="3" t="str">
        <x:v>Seed</x:v>
      </x:c>
      <x:c r="E48" s="3" t="str">
        <x:v>Active</x:v>
      </x:c>
      <x:c r="F48" s="8" t="n">
        <x:v>45870</x:v>
      </x:c>
      <x:c r="G48" s="8" t="n">
        <x:v>45870</x:v>
      </x:c>
      <x:c r="H48" s="12" t="n">
        <x:v>10.3</x:v>
      </x:c>
      <x:c r="I48" s="12" t="n">
        <x:v>1.8</x:v>
      </x:c>
      <x:c r="J48" s="10" t="n">
        <x:v>0.096</x:v>
      </x:c>
      <x:c r="K48" s="12" t="n">
        <x:v>1</x:v>
      </x:c>
      <x:c r="L48" s="12" t="n">
        <x:v>0</x:v>
      </x:c>
      <x:c r="M48" s="14" t="n">
        <x:f>IF(I48=0,0,(K48+L48)/I48)</x:f>
        <x:v>0.5555555555555556</x:v>
      </x:c>
      <x:c r="N48" s="12" t="n">
        <x:v>0.3</x:v>
      </x:c>
      <x:c r="O48" s="10" t="n">
        <x:v>2.88</x:v>
      </x:c>
      <x:c r="P48" s="10" t="n">
        <x:v>0.67</x:v>
      </x:c>
      <x:c r="Q48" s="12" t="n">
        <x:v>0.11</x:v>
      </x:c>
      <x:c r="R48" s="12" t="n">
        <x:v>2.1</x:v>
      </x:c>
      <x:c r="S48" s="12" t="n">
        <x:f>IF(OR(E48&lt;&gt;"Active",Q48=0),"-",R48/Q48)</x:f>
        <x:v>19.09090909090909</x:v>
      </x:c>
      <x:c r="T48" s="16" t="n">
        <x:v>11</x:v>
      </x:c>
    </x:row>
    <x:row r="49" ht="24" customHeight="1">
      <x:c r="A49" s="7" t="str">
        <x:v>Vellichor Systems</x:v>
      </x:c>
      <x:c r="B49" s="7" t="str">
        <x:v>Developer Tools</x:v>
      </x:c>
      <x:c r="C49" s="7" t="str">
        <x:v>Fund III</x:v>
      </x:c>
      <x:c r="D49" s="7" t="str">
        <x:v>Series A</x:v>
      </x:c>
      <x:c r="E49" s="7" t="str">
        <x:v>Active</x:v>
      </x:c>
      <x:c r="F49" s="9" t="n">
        <x:v>45232</x:v>
      </x:c>
      <x:c r="G49" s="9" t="n">
        <x:v>46091</x:v>
      </x:c>
      <x:c r="H49" s="13" t="n">
        <x:v>84.9</x:v>
      </x:c>
      <x:c r="I49" s="13" t="n">
        <x:v>6</x:v>
      </x:c>
      <x:c r="J49" s="11" t="n">
        <x:v>0.139</x:v>
      </x:c>
      <x:c r="K49" s="13" t="n">
        <x:v>11.8</x:v>
      </x:c>
      <x:c r="L49" s="13" t="n">
        <x:v>0</x:v>
      </x:c>
      <x:c r="M49" s="15" t="n">
        <x:f>IF(I49=0,0,(K49+L49)/I49)</x:f>
        <x:v>1.9666666666666668</x:v>
      </x:c>
      <x:c r="N49" s="13" t="n">
        <x:v>5.7</x:v>
      </x:c>
      <x:c r="O49" s="11" t="n">
        <x:v>-0.11</x:v>
      </x:c>
      <x:c r="P49" s="11" t="n">
        <x:v>0.78</x:v>
      </x:c>
      <x:c r="Q49" s="13" t="n">
        <x:v>0.87</x:v>
      </x:c>
      <x:c r="R49" s="13" t="n">
        <x:v>22.1</x:v>
      </x:c>
      <x:c r="S49" s="13" t="n">
        <x:f>IF(OR(E49&lt;&gt;"Active",Q49=0),"-",R49/Q49)</x:f>
        <x:v>25.402298850574713</x:v>
      </x:c>
      <x:c r="T49" s="17" t="n">
        <x:v>61</x:v>
      </x:c>
    </x:row>
    <x:row r="50" ht="24" customHeight="1">
      <x:c r="A50" s="3" t="str">
        <x:v>Westwilder</x:v>
      </x:c>
      <x:c r="B50" s="3" t="str">
        <x:v>Enterprise SaaS</x:v>
      </x:c>
      <x:c r="C50" s="3" t="str">
        <x:v>Fund I</x:v>
      </x:c>
      <x:c r="D50" s="3" t="str">
        <x:v>Series D+</x:v>
      </x:c>
      <x:c r="E50" s="3" t="str">
        <x:v>Active</x:v>
      </x:c>
      <x:c r="F50" s="8" t="n">
        <x:v>44179</x:v>
      </x:c>
      <x:c r="G50" s="8" t="n">
        <x:v>44991</x:v>
      </x:c>
      <x:c r="H50" s="12" t="n">
        <x:v>2055.3</x:v>
      </x:c>
      <x:c r="I50" s="12" t="n">
        <x:v>20</x:v>
      </x:c>
      <x:c r="J50" s="10" t="n">
        <x:v>0.01</x:v>
      </x:c>
      <x:c r="K50" s="12" t="n">
        <x:v>20.6</x:v>
      </x:c>
      <x:c r="L50" s="12" t="n">
        <x:v>0</x:v>
      </x:c>
      <x:c r="M50" s="14" t="n">
        <x:f>IF(I50=0,0,(K50+L50)/I50)</x:f>
        <x:v>1.03</x:v>
      </x:c>
      <x:c r="N50" s="12" t="n">
        <x:v>201.8</x:v>
      </x:c>
      <x:c r="O50" s="10" t="n">
        <x:v>0.32</x:v>
      </x:c>
      <x:c r="P50" s="10" t="n">
        <x:v>0.82</x:v>
      </x:c>
      <x:c r="Q50" s="12" t="n">
        <x:v>3.4</x:v>
      </x:c>
      <x:c r="R50" s="12" t="n">
        <x:v>66</x:v>
      </x:c>
      <x:c r="S50" s="12" t="n">
        <x:f>IF(OR(E50&lt;&gt;"Active",Q50=0),"-",R50/Q50)</x:f>
        <x:v>19.411764705882355</x:v>
      </x:c>
      <x:c r="T50" s="16" t="n">
        <x:v>1186</x:v>
      </x:c>
    </x:row>
    <x:row r="51" ht="24" customHeight="1">
      <x:c r="A51" s="7" t="str">
        <x:v>Yarrowbank</x:v>
      </x:c>
      <x:c r="B51" s="7" t="str">
        <x:v>Consumer</x:v>
      </x:c>
      <x:c r="C51" s="7" t="str">
        <x:v>Fund II</x:v>
      </x:c>
      <x:c r="D51" s="7" t="str">
        <x:v>Series A</x:v>
      </x:c>
      <x:c r="E51" s="7" t="str">
        <x:v>Active</x:v>
      </x:c>
      <x:c r="F51" s="9" t="n">
        <x:v>44441</x:v>
      </x:c>
      <x:c r="G51" s="9" t="n">
        <x:v>45294</x:v>
      </x:c>
      <x:c r="H51" s="13" t="n">
        <x:v>7.7</x:v>
      </x:c>
      <x:c r="I51" s="13" t="n">
        <x:v>2</x:v>
      </x:c>
      <x:c r="J51" s="11" t="n">
        <x:v>0.084</x:v>
      </x:c>
      <x:c r="K51" s="13" t="n">
        <x:v>0.6</x:v>
      </x:c>
      <x:c r="L51" s="13" t="n">
        <x:v>0</x:v>
      </x:c>
      <x:c r="M51" s="15" t="n">
        <x:f>IF(I51=0,0,(K51+L51)/I51)</x:f>
        <x:v>0.3</x:v>
      </x:c>
      <x:c r="N51" s="13" t="n">
        <x:v>7.5</x:v>
      </x:c>
      <x:c r="O51" s="11" t="n">
        <x:v>0.85</x:v>
      </x:c>
      <x:c r="P51" s="11" t="n">
        <x:v>0.57</x:v>
      </x:c>
      <x:c r="Q51" s="13" t="n">
        <x:v>0.69</x:v>
      </x:c>
      <x:c r="R51" s="13" t="n">
        <x:v>21.3</x:v>
      </x:c>
      <x:c r="S51" s="13" t="n">
        <x:f>IF(OR(E51&lt;&gt;"Active",Q51=0),"-",R51/Q51)</x:f>
        <x:v>30.869565217391308</x:v>
      </x:c>
      <x:c r="T51" s="17" t="n">
        <x:v>26</x:v>
      </x:c>
    </x:row>
    <x:row r="52" ht="24" customHeight="1">
      <x:c r="A52" s="3" t="str">
        <x:v>Zinniafold</x:v>
      </x:c>
      <x:c r="B52" s="3" t="str">
        <x:v>Healthcare</x:v>
      </x:c>
      <x:c r="C52" s="3" t="str">
        <x:v>Fund II</x:v>
      </x:c>
      <x:c r="D52" s="3" t="str">
        <x:v>Series A</x:v>
      </x:c>
      <x:c r="E52" s="3" t="str">
        <x:v>Active</x:v>
      </x:c>
      <x:c r="F52" s="8" t="n">
        <x:v>44530</x:v>
      </x:c>
      <x:c r="G52" s="8" t="n">
        <x:v>45324</x:v>
      </x:c>
      <x:c r="H52" s="12" t="n">
        <x:v>30.2</x:v>
      </x:c>
      <x:c r="I52" s="12" t="n">
        <x:v>5.2</x:v>
      </x:c>
      <x:c r="J52" s="10" t="n">
        <x:v>0.123</x:v>
      </x:c>
      <x:c r="K52" s="12" t="n">
        <x:v>3.7</x:v>
      </x:c>
      <x:c r="L52" s="12" t="n">
        <x:v>0</x:v>
      </x:c>
      <x:c r="M52" s="14" t="n">
        <x:f>IF(I52=0,0,(K52+L52)/I52)</x:f>
        <x:v>0.7115384615384616</x:v>
      </x:c>
      <x:c r="N52" s="12" t="n">
        <x:v>2</x:v>
      </x:c>
      <x:c r="O52" s="10" t="n">
        <x:v>1.68</x:v>
      </x:c>
      <x:c r="P52" s="10" t="n">
        <x:v>0.62</x:v>
      </x:c>
      <x:c r="Q52" s="12" t="n">
        <x:v>0.39</x:v>
      </x:c>
      <x:c r="R52" s="12" t="n">
        <x:v>6.9</x:v>
      </x:c>
      <x:c r="S52" s="12" t="n">
        <x:f>IF(OR(E52&lt;&gt;"Active",Q52=0),"-",R52/Q52)</x:f>
        <x:v>17.692307692307693</x:v>
      </x:c>
      <x:c r="T52" s="16" t="n">
        <x:v>57</x:v>
      </x:c>
    </x:row>
    <x:row r="53" ht="24" customHeight="1">
      <x:c r="A53" s="7" t="str">
        <x:v>Ambercrest</x:v>
      </x:c>
      <x:c r="B53" s="7" t="str">
        <x:v>Data &amp; Analytics</x:v>
      </x:c>
      <x:c r="C53" s="7" t="str">
        <x:v>Fund II</x:v>
      </x:c>
      <x:c r="D53" s="7" t="str">
        <x:v>Series B</x:v>
      </x:c>
      <x:c r="E53" s="7" t="str">
        <x:v>Active</x:v>
      </x:c>
      <x:c r="F53" s="9" t="n">
        <x:v>45150</x:v>
      </x:c>
      <x:c r="G53" s="9" t="n">
        <x:v>45995</x:v>
      </x:c>
      <x:c r="H53" s="13" t="n">
        <x:v>251.6</x:v>
      </x:c>
      <x:c r="I53" s="13" t="n">
        <x:v>5.6</x:v>
      </x:c>
      <x:c r="J53" s="11" t="n">
        <x:v>0.042</x:v>
      </x:c>
      <x:c r="K53" s="13" t="n">
        <x:v>10.6</x:v>
      </x:c>
      <x:c r="L53" s="13" t="n">
        <x:v>0</x:v>
      </x:c>
      <x:c r="M53" s="15" t="n">
        <x:f>IF(I53=0,0,(K53+L53)/I53)</x:f>
        <x:v>1.892857142857143</x:v>
      </x:c>
      <x:c r="N53" s="13" t="n">
        <x:v>10.8</x:v>
      </x:c>
      <x:c r="O53" s="11" t="n">
        <x:v>0.79</x:v>
      </x:c>
      <x:c r="P53" s="11" t="n">
        <x:v>0.63</x:v>
      </x:c>
      <x:c r="Q53" s="13" t="n">
        <x:v>1.33</x:v>
      </x:c>
      <x:c r="R53" s="13" t="n">
        <x:v>40.6</x:v>
      </x:c>
      <x:c r="S53" s="13" t="n">
        <x:f>IF(OR(E53&lt;&gt;"Active",Q53=0),"-",R53/Q53)</x:f>
        <x:v>30.526315789473685</x:v>
      </x:c>
      <x:c r="T53" s="17" t="n">
        <x:v>102</x:v>
      </x:c>
    </x:row>
    <x:row r="54" ht="24" customHeight="1">
      <x:c r="A54" s="3" t="str">
        <x:v>Birchhollow</x:v>
      </x:c>
      <x:c r="B54" s="3" t="str">
        <x:v>Cybersecurity</x:v>
      </x:c>
      <x:c r="C54" s="3" t="str">
        <x:v>Fund I</x:v>
      </x:c>
      <x:c r="D54" s="3" t="str">
        <x:v>Series D+</x:v>
      </x:c>
      <x:c r="E54" s="3" t="str">
        <x:v>Active</x:v>
      </x:c>
      <x:c r="F54" s="8" t="n">
        <x:v>43954</x:v>
      </x:c>
      <x:c r="G54" s="8" t="n">
        <x:v>44327</x:v>
      </x:c>
      <x:c r="H54" s="12" t="n">
        <x:v>1494.5</x:v>
      </x:c>
      <x:c r="I54" s="12" t="n">
        <x:v>15.6</x:v>
      </x:c>
      <x:c r="J54" s="10" t="n">
        <x:v>0.029</x:v>
      </x:c>
      <x:c r="K54" s="12" t="n">
        <x:v>43.3</x:v>
      </x:c>
      <x:c r="L54" s="12" t="n">
        <x:v>0</x:v>
      </x:c>
      <x:c r="M54" s="14" t="n">
        <x:f>IF(I54=0,0,(K54+L54)/I54)</x:f>
        <x:v>2.7756410256410255</x:v>
      </x:c>
      <x:c r="N54" s="12" t="n">
        <x:v>129.4</x:v>
      </x:c>
      <x:c r="O54" s="10" t="n">
        <x:v>-0.2</x:v>
      </x:c>
      <x:c r="P54" s="10" t="n">
        <x:v>0.73</x:v>
      </x:c>
      <x:c r="Q54" s="12" t="n">
        <x:v>3.88</x:v>
      </x:c>
      <x:c r="R54" s="12" t="n">
        <x:v>71.6</x:v>
      </x:c>
      <x:c r="S54" s="12" t="n">
        <x:f>IF(OR(E54&lt;&gt;"Active",Q54=0),"-",R54/Q54)</x:f>
        <x:v>18.45360824742268</x:v>
      </x:c>
      <x:c r="T54" s="16" t="n">
        <x:v>1432</x:v>
      </x:c>
    </x:row>
    <x:row r="55" ht="24" customHeight="1">
      <x:c r="A55" s="7" t="str">
        <x:v>Covebright</x:v>
      </x:c>
      <x:c r="B55" s="7" t="str">
        <x:v>Fintech</x:v>
      </x:c>
      <x:c r="C55" s="7" t="str">
        <x:v>Fund I</x:v>
      </x:c>
      <x:c r="D55" s="7" t="str">
        <x:v>Series B</x:v>
      </x:c>
      <x:c r="E55" s="7" t="str">
        <x:v>Active</x:v>
      </x:c>
      <x:c r="F55" s="9" t="n">
        <x:v>44171</x:v>
      </x:c>
      <x:c r="G55" s="9" t="n">
        <x:v>46089</x:v>
      </x:c>
      <x:c r="H55" s="13" t="n">
        <x:v>260.3</x:v>
      </x:c>
      <x:c r="I55" s="13" t="n">
        <x:v>4</x:v>
      </x:c>
      <x:c r="J55" s="11" t="n">
        <x:v>0.056</x:v>
      </x:c>
      <x:c r="K55" s="13" t="n">
        <x:v>14.6</x:v>
      </x:c>
      <x:c r="L55" s="13" t="n">
        <x:v>0</x:v>
      </x:c>
      <x:c r="M55" s="15" t="n">
        <x:f>IF(I55=0,0,(K55+L55)/I55)</x:f>
        <x:v>3.65</x:v>
      </x:c>
      <x:c r="N55" s="13" t="n">
        <x:v>24.8</x:v>
      </x:c>
      <x:c r="O55" s="11" t="n">
        <x:v>0.68</x:v>
      </x:c>
      <x:c r="P55" s="11" t="n">
        <x:v>0.46</x:v>
      </x:c>
      <x:c r="Q55" s="13" t="n">
        <x:v>1.94</x:v>
      </x:c>
      <x:c r="R55" s="13" t="n">
        <x:v>53.9</x:v>
      </x:c>
      <x:c r="S55" s="13" t="n">
        <x:f>IF(OR(E55&lt;&gt;"Active",Q55=0),"-",R55/Q55)</x:f>
        <x:v>27.783505154639176</x:v>
      </x:c>
      <x:c r="T55" s="17" t="n">
        <x:v>161</x:v>
      </x:c>
    </x:row>
    <x:row r="56" ht="24" customHeight="1">
      <x:c r="A56" s="3" t="str">
        <x:v>Duskfern</x:v>
      </x:c>
      <x:c r="B56" s="3" t="str">
        <x:v>Data &amp; Analytics</x:v>
      </x:c>
      <x:c r="C56" s="3" t="str">
        <x:v>Fund II</x:v>
      </x:c>
      <x:c r="D56" s="3" t="str">
        <x:v>Series A</x:v>
      </x:c>
      <x:c r="E56" s="3" t="str">
        <x:v>Active</x:v>
      </x:c>
      <x:c r="F56" s="8" t="n">
        <x:v>44566</x:v>
      </x:c>
      <x:c r="G56" s="8" t="n">
        <x:v>45060</x:v>
      </x:c>
      <x:c r="H56" s="12" t="n">
        <x:v>73.8</x:v>
      </x:c>
      <x:c r="I56" s="12" t="n">
        <x:v>5.6</x:v>
      </x:c>
      <x:c r="J56" s="10" t="n">
        <x:v>0.082</x:v>
      </x:c>
      <x:c r="K56" s="12" t="n">
        <x:v>6.1</x:v>
      </x:c>
      <x:c r="L56" s="12" t="n">
        <x:v>0</x:v>
      </x:c>
      <x:c r="M56" s="14" t="n">
        <x:f>IF(I56=0,0,(K56+L56)/I56)</x:f>
        <x:v>1.0892857142857142</x:v>
      </x:c>
      <x:c r="N56" s="12" t="n">
        <x:v>7</x:v>
      </x:c>
      <x:c r="O56" s="10" t="n">
        <x:v>1.12</x:v>
      </x:c>
      <x:c r="P56" s="10" t="n">
        <x:v>0.68</x:v>
      </x:c>
      <x:c r="Q56" s="12" t="n">
        <x:v>0.45</x:v>
      </x:c>
      <x:c r="R56" s="12" t="n">
        <x:v>2.3</x:v>
      </x:c>
      <x:c r="S56" s="12" t="n">
        <x:f>IF(OR(E56&lt;&gt;"Active",Q56=0),"-",R56/Q56)</x:f>
        <x:v>5.111111111111111</x:v>
      </x:c>
      <x:c r="T56" s="16" t="n">
        <x:v>61</x:v>
      </x:c>
    </x:row>
    <x:row r="57" ht="24" customHeight="1">
      <x:c r="A57" s="7" t="str">
        <x:v>Elmsworth Data</x:v>
      </x:c>
      <x:c r="B57" s="7" t="str">
        <x:v>AI/ML</x:v>
      </x:c>
      <x:c r="C57" s="7" t="str">
        <x:v>Fund II</x:v>
      </x:c>
      <x:c r="D57" s="7" t="str">
        <x:v>Series B</x:v>
      </x:c>
      <x:c r="E57" s="7" t="str">
        <x:v>Active</x:v>
      </x:c>
      <x:c r="F57" s="9" t="n">
        <x:v>44558</x:v>
      </x:c>
      <x:c r="G57" s="9" t="n">
        <x:v>45633</x:v>
      </x:c>
      <x:c r="H57" s="13" t="n">
        <x:v>626.9</x:v>
      </x:c>
      <x:c r="I57" s="13" t="n">
        <x:v>5</x:v>
      </x:c>
      <x:c r="J57" s="11" t="n">
        <x:v>0.038</x:v>
      </x:c>
      <x:c r="K57" s="13" t="n">
        <x:v>23.8</x:v>
      </x:c>
      <x:c r="L57" s="13" t="n">
        <x:v>0</x:v>
      </x:c>
      <x:c r="M57" s="15" t="n">
        <x:f>IF(I57=0,0,(K57+L57)/I57)</x:f>
        <x:v>4.76</x:v>
      </x:c>
      <x:c r="N57" s="13" t="n">
        <x:v>13.1</x:v>
      </x:c>
      <x:c r="O57" s="11" t="n">
        <x:v>0.98</x:v>
      </x:c>
      <x:c r="P57" s="11" t="n">
        <x:v>0.76</x:v>
      </x:c>
      <x:c r="Q57" s="13" t="n">
        <x:v>0.91</x:v>
      </x:c>
      <x:c r="R57" s="13" t="n">
        <x:v>22.4</x:v>
      </x:c>
      <x:c r="S57" s="13" t="n">
        <x:f>IF(OR(E57&lt;&gt;"Active",Q57=0),"-",R57/Q57)</x:f>
        <x:v>24.615384615384613</x:v>
      </x:c>
      <x:c r="T57" s="17" t="n">
        <x:v>103</x:v>
      </x:c>
    </x:row>
    <x:row r="58" ht="24" customHeight="1">
      <x:c r="A58" s="3" t="str">
        <x:v>Foxtrellis</x:v>
      </x:c>
      <x:c r="B58" s="3" t="str">
        <x:v>Climate &amp; Energy</x:v>
      </x:c>
      <x:c r="C58" s="3" t="str">
        <x:v>Fund I</x:v>
      </x:c>
      <x:c r="D58" s="3" t="str">
        <x:v>Series B</x:v>
      </x:c>
      <x:c r="E58" s="3" t="str">
        <x:v>Active</x:v>
      </x:c>
      <x:c r="F58" s="8" t="n">
        <x:v>43995</x:v>
      </x:c>
      <x:c r="G58" s="8" t="n">
        <x:v>45213</x:v>
      </x:c>
      <x:c r="H58" s="12" t="n">
        <x:v>631.7</x:v>
      </x:c>
      <x:c r="I58" s="12" t="n">
        <x:v>4</x:v>
      </x:c>
      <x:c r="J58" s="10" t="n">
        <x:v>0.042</x:v>
      </x:c>
      <x:c r="K58" s="12" t="n">
        <x:v>26.5</x:v>
      </x:c>
      <x:c r="L58" s="12" t="n">
        <x:v>0</x:v>
      </x:c>
      <x:c r="M58" s="14" t="n">
        <x:f>IF(I58=0,0,(K58+L58)/I58)</x:f>
        <x:v>6.625</x:v>
      </x:c>
      <x:c r="N58" s="12" t="n">
        <x:v>19.4</x:v>
      </x:c>
      <x:c r="O58" s="10" t="n">
        <x:v>1.03</x:v>
      </x:c>
      <x:c r="P58" s="10" t="n">
        <x:v>0.22</x:v>
      </x:c>
      <x:c r="Q58" s="12" t="n">
        <x:v>1.39</x:v>
      </x:c>
      <x:c r="R58" s="12" t="n">
        <x:v>43.2</x:v>
      </x:c>
      <x:c r="S58" s="12" t="n">
        <x:f>IF(OR(E58&lt;&gt;"Active",Q58=0),"-",R58/Q58)</x:f>
        <x:v>31.079136690647488</x:v>
      </x:c>
      <x:c r="T58" s="16" t="n">
        <x:v>212</x:v>
      </x:c>
    </x:row>
    <x:row r="59" ht="24" customHeight="1">
      <x:c r="A59" s="7" t="str">
        <x:v>Gorseline</x:v>
      </x:c>
      <x:c r="B59" s="7" t="str">
        <x:v>AI/ML</x:v>
      </x:c>
      <x:c r="C59" s="7" t="str">
        <x:v>Fund III</x:v>
      </x:c>
      <x:c r="D59" s="7" t="str">
        <x:v>Series A</x:v>
      </x:c>
      <x:c r="E59" s="7" t="str">
        <x:v>Active</x:v>
      </x:c>
      <x:c r="F59" s="9" t="n">
        <x:v>46070</x:v>
      </x:c>
      <x:c r="G59" s="9" t="n">
        <x:v>46070</x:v>
      </x:c>
      <x:c r="H59" s="13" t="n">
        <x:v>30.3</x:v>
      </x:c>
      <x:c r="I59" s="13" t="n">
        <x:v>2.1</x:v>
      </x:c>
      <x:c r="J59" s="11" t="n">
        <x:v>0.102</x:v>
      </x:c>
      <x:c r="K59" s="13" t="n">
        <x:v>3.1</x:v>
      </x:c>
      <x:c r="L59" s="13" t="n">
        <x:v>0</x:v>
      </x:c>
      <x:c r="M59" s="15" t="n">
        <x:f>IF(I59=0,0,(K59+L59)/I59)</x:f>
        <x:v>1.4761904761904763</x:v>
      </x:c>
      <x:c r="N59" s="13" t="n">
        <x:v>6.3</x:v>
      </x:c>
      <x:c r="O59" s="11" t="n">
        <x:v>0.52</x:v>
      </x:c>
      <x:c r="P59" s="11" t="n">
        <x:v>0.61</x:v>
      </x:c>
      <x:c r="Q59" s="13" t="n">
        <x:v>0.78</x:v>
      </x:c>
      <x:c r="R59" s="13" t="n">
        <x:v>17.4</x:v>
      </x:c>
      <x:c r="S59" s="13" t="n">
        <x:f>IF(OR(E59&lt;&gt;"Active",Q59=0),"-",R59/Q59)</x:f>
        <x:v>22.307692307692307</x:v>
      </x:c>
      <x:c r="T59" s="17" t="n">
        <x:v>68</x:v>
      </x:c>
    </x:row>
    <x:row r="60" ht="24" customHeight="1">
      <x:c r="A60" s="3" t="str">
        <x:v>Hearthwick</x:v>
      </x:c>
      <x:c r="B60" s="3" t="str">
        <x:v>Fintech</x:v>
      </x:c>
      <x:c r="C60" s="3" t="str">
        <x:v>Fund III</x:v>
      </x:c>
      <x:c r="D60" s="3" t="str">
        <x:v>Seed</x:v>
      </x:c>
      <x:c r="E60" s="3" t="str">
        <x:v>Acquired</x:v>
      </x:c>
      <x:c r="F60" s="8" t="n">
        <x:v>45654</x:v>
      </x:c>
      <x:c r="G60" s="8" t="n">
        <x:v>46195</x:v>
      </x:c>
      <x:c r="H60" s="12" t="n">
        <x:v>8.9</x:v>
      </x:c>
      <x:c r="I60" s="12" t="n">
        <x:v>0.7</x:v>
      </x:c>
      <x:c r="J60" s="10" t="n">
        <x:v>0.084</x:v>
      </x:c>
      <x:c r="K60" s="12" t="n">
        <x:v>0</x:v>
      </x:c>
      <x:c r="L60" s="12" t="n">
        <x:v>1.2</x:v>
      </x:c>
      <x:c r="M60" s="14" t="n">
        <x:f>IF(I60=0,0,(K60+L60)/I60)</x:f>
        <x:v>1.7142857142857144</x:v>
      </x:c>
      <x:c r="N60" s="12"/>
      <x:c r="O60" s="10"/>
      <x:c r="P60" s="10"/>
      <x:c r="Q60" s="12"/>
      <x:c r="R60" s="12"/>
      <x:c r="S60" s="12" t="str">
        <x:f>IF(OR(E60&lt;&gt;"Active",Q60=0),"-",R60/Q60)</x:f>
        <x:v>-</x:v>
      </x:c>
      <x:c r="T60" s="16"/>
    </x:row>
    <x:row r="61" ht="24" customHeight="1">
      <x:c r="A61" s="7" t="str">
        <x:v>Inkmoor</x:v>
      </x:c>
      <x:c r="B61" s="7" t="str">
        <x:v>Developer Tools</x:v>
      </x:c>
      <x:c r="C61" s="7" t="str">
        <x:v>Fund II</x:v>
      </x:c>
      <x:c r="D61" s="7" t="str">
        <x:v>Series A</x:v>
      </x:c>
      <x:c r="E61" s="7" t="str">
        <x:v>Active</x:v>
      </x:c>
      <x:c r="F61" s="9" t="n">
        <x:v>45020</x:v>
      </x:c>
      <x:c r="G61" s="9" t="n">
        <x:v>45538</x:v>
      </x:c>
      <x:c r="H61" s="13" t="n">
        <x:v>24.7</x:v>
      </x:c>
      <x:c r="I61" s="13" t="n">
        <x:v>6</x:v>
      </x:c>
      <x:c r="J61" s="11" t="n">
        <x:v>0.12</x:v>
      </x:c>
      <x:c r="K61" s="13" t="n">
        <x:v>3</x:v>
      </x:c>
      <x:c r="L61" s="13" t="n">
        <x:v>0</x:v>
      </x:c>
      <x:c r="M61" s="15" t="n">
        <x:f>IF(I61=0,0,(K61+L61)/I61)</x:f>
        <x:v>0.5</x:v>
      </x:c>
      <x:c r="N61" s="13" t="n">
        <x:v>6.6</x:v>
      </x:c>
      <x:c r="O61" s="11" t="n">
        <x:v>1.28</x:v>
      </x:c>
      <x:c r="P61" s="11" t="n">
        <x:v>0.71</x:v>
      </x:c>
      <x:c r="Q61" s="13" t="n">
        <x:v>0.63</x:v>
      </x:c>
      <x:c r="R61" s="13" t="n">
        <x:v>14.3</x:v>
      </x:c>
      <x:c r="S61" s="13" t="n">
        <x:f>IF(OR(E61&lt;&gt;"Active",Q61=0),"-",R61/Q61)</x:f>
        <x:v>22.6984126984127</x:v>
      </x:c>
      <x:c r="T61" s="17" t="n">
        <x:v>29</x:v>
      </x:c>
    </x:row>
    <x:row r="62" ht="24" customHeight="1">
      <x:c r="A62" s="3" t="str">
        <x:v>Jadewell Payments</x:v>
      </x:c>
      <x:c r="B62" s="3" t="str">
        <x:v>Robotics</x:v>
      </x:c>
      <x:c r="C62" s="3" t="str">
        <x:v>Fund III</x:v>
      </x:c>
      <x:c r="D62" s="3" t="str">
        <x:v>Series A</x:v>
      </x:c>
      <x:c r="E62" s="3" t="str">
        <x:v>Active</x:v>
      </x:c>
      <x:c r="F62" s="8" t="n">
        <x:v>45366</x:v>
      </x:c>
      <x:c r="G62" s="8" t="n">
        <x:v>45906</x:v>
      </x:c>
      <x:c r="H62" s="12" t="n">
        <x:v>79</x:v>
      </x:c>
      <x:c r="I62" s="12" t="n">
        <x:v>4.6</x:v>
      </x:c>
      <x:c r="J62" s="10" t="n">
        <x:v>0.071</x:v>
      </x:c>
      <x:c r="K62" s="12" t="n">
        <x:v>5.6</x:v>
      </x:c>
      <x:c r="L62" s="12" t="n">
        <x:v>0</x:v>
      </x:c>
      <x:c r="M62" s="14" t="n">
        <x:f>IF(I62=0,0,(K62+L62)/I62)</x:f>
        <x:v>1.2173913043478262</x:v>
      </x:c>
      <x:c r="N62" s="12" t="n">
        <x:v>6.1</x:v>
      </x:c>
      <x:c r="O62" s="10" t="n">
        <x:v>1.04</x:v>
      </x:c>
      <x:c r="P62" s="10" t="n">
        <x:v>0.29</x:v>
      </x:c>
      <x:c r="Q62" s="12" t="n">
        <x:v>0.49</x:v>
      </x:c>
      <x:c r="R62" s="12" t="n">
        <x:v>11.8</x:v>
      </x:c>
      <x:c r="S62" s="12" t="n">
        <x:f>IF(OR(E62&lt;&gt;"Active",Q62=0),"-",R62/Q62)</x:f>
        <x:v>24.081632653061227</x:v>
      </x:c>
      <x:c r="T62" s="16" t="n">
        <x:v>50</x:v>
      </x:c>
    </x:row>
    <x:row r="63" ht="24" customHeight="1">
      <x:c r="A63" s="7" t="str">
        <x:v>Kilnbrook</x:v>
      </x:c>
      <x:c r="B63" s="7" t="str">
        <x:v>Fintech</x:v>
      </x:c>
      <x:c r="C63" s="7" t="str">
        <x:v>Fund II</x:v>
      </x:c>
      <x:c r="D63" s="7" t="str">
        <x:v>Series A</x:v>
      </x:c>
      <x:c r="E63" s="7" t="str">
        <x:v>Active</x:v>
      </x:c>
      <x:c r="F63" s="9" t="n">
        <x:v>44713</x:v>
      </x:c>
      <x:c r="G63" s="9" t="n">
        <x:v>45799</x:v>
      </x:c>
      <x:c r="H63" s="13" t="n">
        <x:v>63.6</x:v>
      </x:c>
      <x:c r="I63" s="13" t="n">
        <x:v>2</x:v>
      </x:c>
      <x:c r="J63" s="11" t="n">
        <x:v>0.069</x:v>
      </x:c>
      <x:c r="K63" s="13" t="n">
        <x:v>4.4</x:v>
      </x:c>
      <x:c r="L63" s="13" t="n">
        <x:v>0</x:v>
      </x:c>
      <x:c r="M63" s="15" t="n">
        <x:f>IF(I63=0,0,(K63+L63)/I63)</x:f>
        <x:v>2.2</x:v>
      </x:c>
      <x:c r="N63" s="13" t="n">
        <x:v>7.5</x:v>
      </x:c>
      <x:c r="O63" s="11" t="n">
        <x:v>0.56</x:v>
      </x:c>
      <x:c r="P63" s="11" t="n">
        <x:v>0.51</x:v>
      </x:c>
      <x:c r="Q63" s="13" t="n">
        <x:v>0.36</x:v>
      </x:c>
      <x:c r="R63" s="13" t="n">
        <x:v>11.1</x:v>
      </x:c>
      <x:c r="S63" s="13" t="n">
        <x:f>IF(OR(E63&lt;&gt;"Active",Q63=0),"-",R63/Q63)</x:f>
        <x:v>30.833333333333332</x:v>
      </x:c>
      <x:c r="T63" s="17" t="n">
        <x:v>29</x:v>
      </x:c>
    </x:row>
    <x:row r="64" ht="24" customHeight="1">
      <x:c r="A64" s="3" t="str">
        <x:v>Loamfield Robotics</x:v>
      </x:c>
      <x:c r="B64" s="3" t="str">
        <x:v>Data &amp; Analytics</x:v>
      </x:c>
      <x:c r="C64" s="3" t="str">
        <x:v>Fund III</x:v>
      </x:c>
      <x:c r="D64" s="3" t="str">
        <x:v>Seed</x:v>
      </x:c>
      <x:c r="E64" s="3" t="str">
        <x:v>Active</x:v>
      </x:c>
      <x:c r="F64" s="8" t="n">
        <x:v>46113</x:v>
      </x:c>
      <x:c r="G64" s="8" t="n">
        <x:v>46113</x:v>
      </x:c>
      <x:c r="H64" s="12" t="n">
        <x:v>15.3</x:v>
      </x:c>
      <x:c r="I64" s="12" t="n">
        <x:v>1.5</x:v>
      </x:c>
      <x:c r="J64" s="10" t="n">
        <x:v>0.072</x:v>
      </x:c>
      <x:c r="K64" s="12" t="n">
        <x:v>1.1</x:v>
      </x:c>
      <x:c r="L64" s="12" t="n">
        <x:v>0</x:v>
      </x:c>
      <x:c r="M64" s="14" t="n">
        <x:f>IF(I64=0,0,(K64+L64)/I64)</x:f>
        <x:v>0.7333333333333334</x:v>
      </x:c>
      <x:c r="N64" s="12" t="n">
        <x:v>1.4</x:v>
      </x:c>
      <x:c r="O64" s="10" t="n">
        <x:v>0.68</x:v>
      </x:c>
      <x:c r="P64" s="10" t="n">
        <x:v>0.65</x:v>
      </x:c>
      <x:c r="Q64" s="12" t="n">
        <x:v>0.21</x:v>
      </x:c>
      <x:c r="R64" s="12" t="n">
        <x:v>5</x:v>
      </x:c>
      <x:c r="S64" s="12" t="n">
        <x:f>IF(OR(E64&lt;&gt;"Active",Q64=0),"-",R64/Q64)</x:f>
        <x:v>23.80952380952381</x:v>
      </x:c>
      <x:c r="T64" s="16" t="n">
        <x:v>16</x:v>
      </x:c>
    </x:row>
    <x:row r="65" ht="24" customHeight="1">
      <x:c r="A65" s="7" t="str">
        <x:v>Mirthstone</x:v>
      </x:c>
      <x:c r="B65" s="7" t="str">
        <x:v>Climate &amp; Energy</x:v>
      </x:c>
      <x:c r="C65" s="7" t="str">
        <x:v>Fund I</x:v>
      </x:c>
      <x:c r="D65" s="7" t="str">
        <x:v>Series B</x:v>
      </x:c>
      <x:c r="E65" s="7" t="str">
        <x:v>Active</x:v>
      </x:c>
      <x:c r="F65" s="9" t="n">
        <x:v>44160</x:v>
      </x:c>
      <x:c r="G65" s="9" t="n">
        <x:v>45240</x:v>
      </x:c>
      <x:c r="H65" s="13" t="n">
        <x:v>122.5</x:v>
      </x:c>
      <x:c r="I65" s="13" t="n">
        <x:v>4</x:v>
      </x:c>
      <x:c r="J65" s="11" t="n">
        <x:v>0.054</x:v>
      </x:c>
      <x:c r="K65" s="13" t="n">
        <x:v>6.6</x:v>
      </x:c>
      <x:c r="L65" s="13" t="n">
        <x:v>0</x:v>
      </x:c>
      <x:c r="M65" s="15" t="n">
        <x:f>IF(I65=0,0,(K65+L65)/I65)</x:f>
        <x:v>1.65</x:v>
      </x:c>
      <x:c r="N65" s="13" t="n">
        <x:v>26</x:v>
      </x:c>
      <x:c r="O65" s="11" t="n">
        <x:v>-0.05</x:v>
      </x:c>
      <x:c r="P65" s="11" t="n">
        <x:v>0.44</x:v>
      </x:c>
      <x:c r="Q65" s="13" t="n">
        <x:v>0.97</x:v>
      </x:c>
      <x:c r="R65" s="13" t="n">
        <x:v>28.2</x:v>
      </x:c>
      <x:c r="S65" s="13" t="n">
        <x:f>IF(OR(E65&lt;&gt;"Active",Q65=0),"-",R65/Q65)</x:f>
        <x:v>29.072164948453608</x:v>
      </x:c>
      <x:c r="T65" s="17" t="n">
        <x:v>130</x:v>
      </x:c>
    </x:row>
    <x:row r="66" ht="24" customHeight="1">
      <x:c r="A66" s="3" t="str">
        <x:v>Nettlebay</x:v>
      </x:c>
      <x:c r="B66" s="3" t="str">
        <x:v>Robotics</x:v>
      </x:c>
      <x:c r="C66" s="3" t="str">
        <x:v>Fund II</x:v>
      </x:c>
      <x:c r="D66" s="3" t="str">
        <x:v>Series C</x:v>
      </x:c>
      <x:c r="E66" s="3" t="str">
        <x:v>Active</x:v>
      </x:c>
      <x:c r="F66" s="8" t="n">
        <x:v>44583</x:v>
      </x:c>
      <x:c r="G66" s="8" t="n">
        <x:v>44801</x:v>
      </x:c>
      <x:c r="H66" s="12" t="n">
        <x:v>820.2</x:v>
      </x:c>
      <x:c r="I66" s="12" t="n">
        <x:v>15</x:v>
      </x:c>
      <x:c r="J66" s="10" t="n">
        <x:v>0.026</x:v>
      </x:c>
      <x:c r="K66" s="12" t="n">
        <x:v>21.3</x:v>
      </x:c>
      <x:c r="L66" s="12" t="n">
        <x:v>0</x:v>
      </x:c>
      <x:c r="M66" s="14" t="n">
        <x:f>IF(I66=0,0,(K66+L66)/I66)</x:f>
        <x:v>1.4200000000000002</x:v>
      </x:c>
      <x:c r="N66" s="12" t="n">
        <x:v>65.7</x:v>
      </x:c>
      <x:c r="O66" s="10" t="n">
        <x:v>0.53</x:v>
      </x:c>
      <x:c r="P66" s="10" t="n">
        <x:v>0.26</x:v>
      </x:c>
      <x:c r="Q66" s="12" t="n">
        <x:v>1.13</x:v>
      </x:c>
      <x:c r="R66" s="12" t="n">
        <x:v>20.7</x:v>
      </x:c>
      <x:c r="S66" s="12" t="n">
        <x:f>IF(OR(E66&lt;&gt;"Active",Q66=0),"-",R66/Q66)</x:f>
        <x:v>18.31858407079646</x:v>
      </x:c>
      <x:c r="T66" s="16" t="n">
        <x:v>587</x:v>
      </x:c>
    </x:row>
    <x:row r="67" ht="24" customHeight="1">
      <x:c r="A67" s="7" t="str">
        <x:v>Orchardline</x:v>
      </x:c>
      <x:c r="B67" s="7" t="str">
        <x:v>Data &amp; Analytics</x:v>
      </x:c>
      <x:c r="C67" s="7" t="str">
        <x:v>Fund I</x:v>
      </x:c>
      <x:c r="D67" s="7" t="str">
        <x:v>Series B</x:v>
      </x:c>
      <x:c r="E67" s="7" t="str">
        <x:v>Active</x:v>
      </x:c>
      <x:c r="F67" s="9" t="n">
        <x:v>43569</x:v>
      </x:c>
      <x:c r="G67" s="9" t="n">
        <x:v>45857</x:v>
      </x:c>
      <x:c r="H67" s="13" t="n">
        <x:v>119.9</x:v>
      </x:c>
      <x:c r="I67" s="13" t="n">
        <x:v>4</x:v>
      </x:c>
      <x:c r="J67" s="11" t="n">
        <x:v>0.061</x:v>
      </x:c>
      <x:c r="K67" s="13" t="n">
        <x:v>7.3</x:v>
      </x:c>
      <x:c r="L67" s="13" t="n">
        <x:v>0</x:v>
      </x:c>
      <x:c r="M67" s="15" t="n">
        <x:f>IF(I67=0,0,(K67+L67)/I67)</x:f>
        <x:v>1.825</x:v>
      </x:c>
      <x:c r="N67" s="13" t="n">
        <x:v>22.1</x:v>
      </x:c>
      <x:c r="O67" s="11" t="n">
        <x:v>0.59</x:v>
      </x:c>
      <x:c r="P67" s="11" t="n">
        <x:v>0.63</x:v>
      </x:c>
      <x:c r="Q67" s="13" t="n">
        <x:v>1</x:v>
      </x:c>
      <x:c r="R67" s="13" t="n">
        <x:v>3.5</x:v>
      </x:c>
      <x:c r="S67" s="13" t="n">
        <x:f>IF(OR(E67&lt;&gt;"Active",Q67=0),"-",R67/Q67)</x:f>
        <x:v>3.5</x:v>
      </x:c>
      <x:c r="T67" s="17" t="n">
        <x:v>94</x:v>
      </x:c>
    </x:row>
    <x:row r="68" ht="24" customHeight="1">
      <x:c r="A68" s="3" t="str">
        <x:v>Palefire Labs</x:v>
      </x:c>
      <x:c r="B68" s="3" t="str">
        <x:v>Consumer</x:v>
      </x:c>
      <x:c r="C68" s="3" t="str">
        <x:v>Fund III</x:v>
      </x:c>
      <x:c r="D68" s="3" t="str">
        <x:v>Series A</x:v>
      </x:c>
      <x:c r="E68" s="3" t="str">
        <x:v>Active</x:v>
      </x:c>
      <x:c r="F68" s="8" t="n">
        <x:v>45975</x:v>
      </x:c>
      <x:c r="G68" s="8" t="n">
        <x:v>46182</x:v>
      </x:c>
      <x:c r="H68" s="12" t="n">
        <x:v>54.3</x:v>
      </x:c>
      <x:c r="I68" s="12" t="n">
        <x:v>6</x:v>
      </x:c>
      <x:c r="J68" s="10" t="n">
        <x:v>0.12</x:v>
      </x:c>
      <x:c r="K68" s="12" t="n">
        <x:v>6.5</x:v>
      </x:c>
      <x:c r="L68" s="12" t="n">
        <x:v>0</x:v>
      </x:c>
      <x:c r="M68" s="14" t="n">
        <x:f>IF(I68=0,0,(K68+L68)/I68)</x:f>
        <x:v>1.0833333333333333</x:v>
      </x:c>
      <x:c r="N68" s="12" t="n">
        <x:v>7.2</x:v>
      </x:c>
      <x:c r="O68" s="10" t="n">
        <x:v>1.87</x:v>
      </x:c>
      <x:c r="P68" s="10" t="n">
        <x:v>0.43</x:v>
      </x:c>
      <x:c r="Q68" s="12" t="n">
        <x:v>0.73</x:v>
      </x:c>
      <x:c r="R68" s="12" t="n">
        <x:v>12.8</x:v>
      </x:c>
      <x:c r="S68" s="12" t="n">
        <x:f>IF(OR(E68&lt;&gt;"Active",Q68=0),"-",R68/Q68)</x:f>
        <x:v>17.53424657534247</x:v>
      </x:c>
      <x:c r="T68" s="16" t="n">
        <x:v>42</x:v>
      </x:c>
    </x:row>
    <x:row r="69" ht="24" customHeight="1">
      <x:c r="A69" s="7" t="str">
        <x:v>Quillshade</x:v>
      </x:c>
      <x:c r="B69" s="7" t="str">
        <x:v>Climate &amp; Energy</x:v>
      </x:c>
      <x:c r="C69" s="7" t="str">
        <x:v>Fund III</x:v>
      </x:c>
      <x:c r="D69" s="7" t="str">
        <x:v>Series A</x:v>
      </x:c>
      <x:c r="E69" s="7" t="str">
        <x:v>Active</x:v>
      </x:c>
      <x:c r="F69" s="9" t="n">
        <x:v>45340</x:v>
      </x:c>
      <x:c r="G69" s="9" t="n">
        <x:v>46184</x:v>
      </x:c>
      <x:c r="H69" s="13" t="n">
        <x:v>66.1</x:v>
      </x:c>
      <x:c r="I69" s="13" t="n">
        <x:v>6</x:v>
      </x:c>
      <x:c r="J69" s="11" t="n">
        <x:v>0.135</x:v>
      </x:c>
      <x:c r="K69" s="13" t="n">
        <x:v>8.9</x:v>
      </x:c>
      <x:c r="L69" s="13" t="n">
        <x:v>0</x:v>
      </x:c>
      <x:c r="M69" s="15" t="n">
        <x:f>IF(I69=0,0,(K69+L69)/I69)</x:f>
        <x:v>1.4833333333333334</x:v>
      </x:c>
      <x:c r="N69" s="13" t="n">
        <x:v>6</x:v>
      </x:c>
      <x:c r="O69" s="11" t="n">
        <x:v>1.16</x:v>
      </x:c>
      <x:c r="P69" s="11" t="n">
        <x:v>0.24</x:v>
      </x:c>
      <x:c r="Q69" s="13" t="n">
        <x:v>0.88</x:v>
      </x:c>
      <x:c r="R69" s="13" t="n">
        <x:v>24.1</x:v>
      </x:c>
      <x:c r="S69" s="13" t="n">
        <x:f>IF(OR(E69&lt;&gt;"Active",Q69=0),"-",R69/Q69)</x:f>
        <x:v>27.386363636363637</x:v>
      </x:c>
      <x:c r="T69" s="17" t="n">
        <x:v>41</x:v>
      </x:c>
    </x:row>
    <x:row r="70" ht="24" customHeight="1">
      <x:c r="A70" s="3" t="str">
        <x:v>Rushlight AI</x:v>
      </x:c>
      <x:c r="B70" s="3" t="str">
        <x:v>Developer Tools</x:v>
      </x:c>
      <x:c r="C70" s="3" t="str">
        <x:v>Fund II</x:v>
      </x:c>
      <x:c r="D70" s="3" t="str">
        <x:v>Series B</x:v>
      </x:c>
      <x:c r="E70" s="3" t="str">
        <x:v>Active</x:v>
      </x:c>
      <x:c r="F70" s="8" t="n">
        <x:v>44551</x:v>
      </x:c>
      <x:c r="G70" s="8" t="n">
        <x:v>44938</x:v>
      </x:c>
      <x:c r="H70" s="12" t="n">
        <x:v>298.3</x:v>
      </x:c>
      <x:c r="I70" s="12" t="n">
        <x:v>10</x:v>
      </x:c>
      <x:c r="J70" s="10" t="n">
        <x:v>0.041</x:v>
      </x:c>
      <x:c r="K70" s="12" t="n">
        <x:v>12.2</x:v>
      </x:c>
      <x:c r="L70" s="12" t="n">
        <x:v>0</x:v>
      </x:c>
      <x:c r="M70" s="14" t="n">
        <x:f>IF(I70=0,0,(K70+L70)/I70)</x:f>
        <x:v>1.22</x:v>
      </x:c>
      <x:c r="N70" s="12" t="n">
        <x:v>16</x:v>
      </x:c>
      <x:c r="O70" s="10" t="n">
        <x:v>1.15</x:v>
      </x:c>
      <x:c r="P70" s="10" t="n">
        <x:v>0.69</x:v>
      </x:c>
      <x:c r="Q70" s="12" t="n">
        <x:v>1.88</x:v>
      </x:c>
      <x:c r="R70" s="12" t="n">
        <x:v>47.8</x:v>
      </x:c>
      <x:c r="S70" s="12" t="n">
        <x:f>IF(OR(E70&lt;&gt;"Active",Q70=0),"-",R70/Q70)</x:f>
        <x:v>25.425531914893618</x:v>
      </x:c>
      <x:c r="T70" s="16" t="n">
        <x:v>199</x:v>
      </x:c>
    </x:row>
    <x:row r="71" ht="24" customHeight="1">
      <x:c r="A71" s="7" t="str">
        <x:v>Stonegather</x:v>
      </x:c>
      <x:c r="B71" s="7" t="str">
        <x:v>Data &amp; Analytics</x:v>
      </x:c>
      <x:c r="C71" s="7" t="str">
        <x:v>Fund III</x:v>
      </x:c>
      <x:c r="D71" s="7" t="str">
        <x:v>Seed</x:v>
      </x:c>
      <x:c r="E71" s="7" t="str">
        <x:v>Active</x:v>
      </x:c>
      <x:c r="F71" s="9" t="n">
        <x:v>45267</x:v>
      </x:c>
      <x:c r="G71" s="9" t="n">
        <x:v>45267</x:v>
      </x:c>
      <x:c r="H71" s="13" t="n">
        <x:v>18.1</x:v>
      </x:c>
      <x:c r="I71" s="13" t="n">
        <x:v>1.4</x:v>
      </x:c>
      <x:c r="J71" s="11" t="n">
        <x:v>0.094</x:v>
      </x:c>
      <x:c r="K71" s="13" t="n">
        <x:v>1.7</x:v>
      </x:c>
      <x:c r="L71" s="13" t="n">
        <x:v>0</x:v>
      </x:c>
      <x:c r="M71" s="15" t="n">
        <x:f>IF(I71=0,0,(K71+L71)/I71)</x:f>
        <x:v>1.2142857142857144</x:v>
      </x:c>
      <x:c r="N71" s="13" t="n">
        <x:v>1</x:v>
      </x:c>
      <x:c r="O71" s="11" t="n">
        <x:v>2.99</x:v>
      </x:c>
      <x:c r="P71" s="11" t="n">
        <x:v>0.65</x:v>
      </x:c>
      <x:c r="Q71" s="13" t="n">
        <x:v>0.3</x:v>
      </x:c>
      <x:c r="R71" s="13" t="n">
        <x:v>1.4</x:v>
      </x:c>
      <x:c r="S71" s="13" t="n">
        <x:f>IF(OR(E71&lt;&gt;"Active",Q71=0),"-",R71/Q71)</x:f>
        <x:v>4.666666666666667</x:v>
      </x:c>
      <x:c r="T71" s="17" t="n">
        <x:v>18</x:v>
      </x:c>
    </x:row>
    <x:row r="72" ht="24" customHeight="1">
      <x:c r="A72" s="3" t="str">
        <x:v>Tidewell Health</x:v>
      </x:c>
      <x:c r="B72" s="3" t="str">
        <x:v>Healthcare</x:v>
      </x:c>
      <x:c r="C72" s="3" t="str">
        <x:v>Fund III</x:v>
      </x:c>
      <x:c r="D72" s="3" t="str">
        <x:v>Seed</x:v>
      </x:c>
      <x:c r="E72" s="3" t="str">
        <x:v>Active</x:v>
      </x:c>
      <x:c r="F72" s="8" t="n">
        <x:v>45986</x:v>
      </x:c>
      <x:c r="G72" s="8" t="n">
        <x:v>46187</x:v>
      </x:c>
      <x:c r="H72" s="12" t="n">
        <x:v>13.9</x:v>
      </x:c>
      <x:c r="I72" s="12" t="n">
        <x:v>1.4</x:v>
      </x:c>
      <x:c r="J72" s="10" t="n">
        <x:v>0.087</x:v>
      </x:c>
      <x:c r="K72" s="12" t="n">
        <x:v>1.2</x:v>
      </x:c>
      <x:c r="L72" s="12" t="n">
        <x:v>0</x:v>
      </x:c>
      <x:c r="M72" s="14" t="n">
        <x:f>IF(I72=0,0,(K72+L72)/I72)</x:f>
        <x:v>0.8571428571428572</x:v>
      </x:c>
      <x:c r="N72" s="12" t="n">
        <x:v>1.4</x:v>
      </x:c>
      <x:c r="O72" s="10" t="n">
        <x:v>1.43</x:v>
      </x:c>
      <x:c r="P72" s="10" t="n">
        <x:v>0.69</x:v>
      </x:c>
      <x:c r="Q72" s="12" t="n">
        <x:v>0.19</x:v>
      </x:c>
      <x:c r="R72" s="12" t="n">
        <x:v>3.8</x:v>
      </x:c>
      <x:c r="S72" s="12" t="n">
        <x:f>IF(OR(E72&lt;&gt;"Active",Q72=0),"-",R72/Q72)</x:f>
        <x:v>20</x:v>
      </x:c>
      <x:c r="T72" s="16" t="n">
        <x:v>24</x:v>
      </x:c>
    </x:row>
    <x:row r="73" ht="24" customHeight="1">
      <x:c r="A73" s="7" t="str">
        <x:v>Umbrelight</x:v>
      </x:c>
      <x:c r="B73" s="7" t="str">
        <x:v>AI/ML</x:v>
      </x:c>
      <x:c r="C73" s="7" t="str">
        <x:v>Fund III</x:v>
      </x:c>
      <x:c r="D73" s="7" t="str">
        <x:v>Seed</x:v>
      </x:c>
      <x:c r="E73" s="7" t="str">
        <x:v>Active</x:v>
      </x:c>
      <x:c r="F73" s="9" t="n">
        <x:v>45418</x:v>
      </x:c>
      <x:c r="G73" s="9" t="n">
        <x:v>45418</x:v>
      </x:c>
      <x:c r="H73" s="13" t="n">
        <x:v>17.9</x:v>
      </x:c>
      <x:c r="I73" s="13" t="n">
        <x:v>1.3</x:v>
      </x:c>
      <x:c r="J73" s="11" t="n">
        <x:v>0.083</x:v>
      </x:c>
      <x:c r="K73" s="13" t="n">
        <x:v>1.5</x:v>
      </x:c>
      <x:c r="L73" s="13" t="n">
        <x:v>0</x:v>
      </x:c>
      <x:c r="M73" s="15" t="n">
        <x:f>IF(I73=0,0,(K73+L73)/I73)</x:f>
        <x:v>1.1538461538461537</x:v>
      </x:c>
      <x:c r="N73" s="13" t="n">
        <x:v>0.2</x:v>
      </x:c>
      <x:c r="O73" s="11" t="n">
        <x:v>0.65</x:v>
      </x:c>
      <x:c r="P73" s="11" t="n">
        <x:v>0.72</x:v>
      </x:c>
      <x:c r="Q73" s="13" t="n">
        <x:v>0.23</x:v>
      </x:c>
      <x:c r="R73" s="13" t="n">
        <x:v>6.2</x:v>
      </x:c>
      <x:c r="S73" s="13" t="n">
        <x:f>IF(OR(E73&lt;&gt;"Active",Q73=0),"-",R73/Q73)</x:f>
        <x:v>26.956521739130434</x:v>
      </x:c>
      <x:c r="T73" s="17" t="n">
        <x:v>20</x:v>
      </x:c>
    </x:row>
    <x:row r="74" ht="24" customHeight="1">
      <x:c r="A74" s="3" t="str">
        <x:v>Vinecroft</x:v>
      </x:c>
      <x:c r="B74" s="3" t="str">
        <x:v>AI/ML</x:v>
      </x:c>
      <x:c r="C74" s="3" t="str">
        <x:v>Fund I</x:v>
      </x:c>
      <x:c r="D74" s="3" t="str">
        <x:v>Series D+</x:v>
      </x:c>
      <x:c r="E74" s="3" t="str">
        <x:v>Active</x:v>
      </x:c>
      <x:c r="F74" s="8" t="n">
        <x:v>43844</x:v>
      </x:c>
      <x:c r="G74" s="8" t="n">
        <x:v>45777</x:v>
      </x:c>
      <x:c r="H74" s="12" t="n">
        <x:v>1390.7</x:v>
      </x:c>
      <x:c r="I74" s="12" t="n">
        <x:v>13.5</x:v>
      </x:c>
      <x:c r="J74" s="10" t="n">
        <x:v>0.016</x:v>
      </x:c>
      <x:c r="K74" s="12" t="n">
        <x:v>22.3</x:v>
      </x:c>
      <x:c r="L74" s="12" t="n">
        <x:v>0</x:v>
      </x:c>
      <x:c r="M74" s="14" t="n">
        <x:f>IF(I74=0,0,(K74+L74)/I74)</x:f>
        <x:v>1.651851851851852</x:v>
      </x:c>
      <x:c r="N74" s="12" t="n">
        <x:v>127.7</x:v>
      </x:c>
      <x:c r="O74" s="10" t="n">
        <x:v>0.45</x:v>
      </x:c>
      <x:c r="P74" s="10" t="n">
        <x:v>0.64</x:v>
      </x:c>
      <x:c r="Q74" s="12" t="n">
        <x:v>1.45</x:v>
      </x:c>
      <x:c r="R74" s="12" t="n">
        <x:v>37.8</x:v>
      </x:c>
      <x:c r="S74" s="12" t="n">
        <x:f>IF(OR(E74&lt;&gt;"Active",Q74=0),"-",R74/Q74)</x:f>
        <x:v>26.068965517241377</x:v>
      </x:c>
      <x:c r="T74" s="16" t="n">
        <x:v>1517</x:v>
      </x:c>
    </x:row>
    <x:row r="75" ht="24" customHeight="1">
      <x:c r="A75" s="7" t="str">
        <x:v>Willowmere Compute</x:v>
      </x:c>
      <x:c r="B75" s="7" t="str">
        <x:v>Cybersecurity</x:v>
      </x:c>
      <x:c r="C75" s="7" t="str">
        <x:v>Fund III</x:v>
      </x:c>
      <x:c r="D75" s="7" t="str">
        <x:v>Series A</x:v>
      </x:c>
      <x:c r="E75" s="7" t="str">
        <x:v>Active</x:v>
      </x:c>
      <x:c r="F75" s="9" t="n">
        <x:v>45387</x:v>
      </x:c>
      <x:c r="G75" s="9" t="n">
        <x:v>45744</x:v>
      </x:c>
      <x:c r="H75" s="13" t="n">
        <x:v>38.7</x:v>
      </x:c>
      <x:c r="I75" s="13" t="n">
        <x:v>6</x:v>
      </x:c>
      <x:c r="J75" s="11" t="n">
        <x:v>0.121</x:v>
      </x:c>
      <x:c r="K75" s="13" t="n">
        <x:v>4.7</x:v>
      </x:c>
      <x:c r="L75" s="13" t="n">
        <x:v>0</x:v>
      </x:c>
      <x:c r="M75" s="15" t="n">
        <x:f>IF(I75=0,0,(K75+L75)/I75)</x:f>
        <x:v>0.7833333333333333</x:v>
      </x:c>
      <x:c r="N75" s="13" t="n">
        <x:v>5.5</x:v>
      </x:c>
      <x:c r="O75" s="11" t="n">
        <x:v>0.45</x:v>
      </x:c>
      <x:c r="P75" s="11" t="n">
        <x:v>0.72</x:v>
      </x:c>
      <x:c r="Q75" s="13" t="n">
        <x:v>0.63</x:v>
      </x:c>
      <x:c r="R75" s="13" t="n">
        <x:v>11</x:v>
      </x:c>
      <x:c r="S75" s="13" t="n">
        <x:f>IF(OR(E75&lt;&gt;"Active",Q75=0),"-",R75/Q75)</x:f>
        <x:v>17.46031746031746</x:v>
      </x:c>
      <x:c r="T75" s="17" t="n">
        <x:v>25</x:v>
      </x:c>
    </x:row>
    <x:row r="76" ht="24" customHeight="1">
      <x:c r="A76" s="3" t="str">
        <x:v>Xylotta</x:v>
      </x:c>
      <x:c r="B76" s="3" t="str">
        <x:v>Cybersecurity</x:v>
      </x:c>
      <x:c r="C76" s="3" t="str">
        <x:v>Fund I</x:v>
      </x:c>
      <x:c r="D76" s="3" t="str">
        <x:v>Series D+</x:v>
      </x:c>
      <x:c r="E76" s="3" t="str">
        <x:v>Active</x:v>
      </x:c>
      <x:c r="F76" s="8" t="n">
        <x:v>44090</x:v>
      </x:c>
      <x:c r="G76" s="8" t="n">
        <x:v>44956</x:v>
      </x:c>
      <x:c r="H76" s="12" t="n">
        <x:v>2282.4</x:v>
      </x:c>
      <x:c r="I76" s="12" t="n">
        <x:v>20</x:v>
      </x:c>
      <x:c r="J76" s="10" t="n">
        <x:v>0.025</x:v>
      </x:c>
      <x:c r="K76" s="12" t="n">
        <x:v>57.1</x:v>
      </x:c>
      <x:c r="L76" s="12" t="n">
        <x:v>0</x:v>
      </x:c>
      <x:c r="M76" s="14" t="n">
        <x:f>IF(I76=0,0,(K76+L76)/I76)</x:f>
        <x:v>2.855</x:v>
      </x:c>
      <x:c r="N76" s="12" t="n">
        <x:v>204.3</x:v>
      </x:c>
      <x:c r="O76" s="10" t="n">
        <x:v>0.18</x:v>
      </x:c>
      <x:c r="P76" s="10" t="n">
        <x:v>0.81</x:v>
      </x:c>
      <x:c r="Q76" s="12" t="n">
        <x:v>0.91</x:v>
      </x:c>
      <x:c r="R76" s="12" t="n">
        <x:v>16</x:v>
      </x:c>
      <x:c r="S76" s="12" t="n">
        <x:f>IF(OR(E76&lt;&gt;"Active",Q76=0),"-",R76/Q76)</x:f>
        <x:v>17.58241758241758</x:v>
      </x:c>
      <x:c r="T76" s="16" t="n">
        <x:v>1508</x:v>
      </x:c>
    </x:row>
    <x:row r="77" ht="24" customHeight="1">
      <x:c r="A77" s="7" t="str">
        <x:v>Yewbranch Security</x:v>
      </x:c>
      <x:c r="B77" s="7" t="str">
        <x:v>Robotics</x:v>
      </x:c>
      <x:c r="C77" s="7" t="str">
        <x:v>Fund III</x:v>
      </x:c>
      <x:c r="D77" s="7" t="str">
        <x:v>Seed</x:v>
      </x:c>
      <x:c r="E77" s="7" t="str">
        <x:v>Active</x:v>
      </x:c>
      <x:c r="F77" s="9" t="n">
        <x:v>45401</x:v>
      </x:c>
      <x:c r="G77" s="9" t="n">
        <x:v>45961</x:v>
      </x:c>
      <x:c r="H77" s="13" t="n">
        <x:v>21.3</x:v>
      </x:c>
      <x:c r="I77" s="13" t="n">
        <x:v>2.5</x:v>
      </x:c>
      <x:c r="J77" s="11" t="n">
        <x:v>0.119</x:v>
      </x:c>
      <x:c r="K77" s="13" t="n">
        <x:v>2.5</x:v>
      </x:c>
      <x:c r="L77" s="13" t="n">
        <x:v>0</x:v>
      </x:c>
      <x:c r="M77" s="15" t="n">
        <x:f>IF(I77=0,0,(K77+L77)/I77)</x:f>
        <x:v>1</x:v>
      </x:c>
      <x:c r="N77" s="13" t="n">
        <x:v>0.1</x:v>
      </x:c>
      <x:c r="O77" s="11"/>
      <x:c r="P77" s="11" t="n">
        <x:v>0.38</x:v>
      </x:c>
      <x:c r="Q77" s="13" t="n">
        <x:v>0.27</x:v>
      </x:c>
      <x:c r="R77" s="13" t="n">
        <x:v>5.2</x:v>
      </x:c>
      <x:c r="S77" s="13" t="n">
        <x:f>IF(OR(E77&lt;&gt;"Active",Q77=0),"-",R77/Q77)</x:f>
        <x:v>19.25925925925926</x:v>
      </x:c>
      <x:c r="T77" s="17" t="n">
        <x:v>10</x:v>
      </x:c>
    </x:row>
    <x:row r="78" ht="24" customHeight="1">
      <x:c r="A78" s="3" t="str">
        <x:v>Zealwick</x:v>
      </x:c>
      <x:c r="B78" s="3" t="str">
        <x:v>Robotics</x:v>
      </x:c>
      <x:c r="C78" s="3" t="str">
        <x:v>Fund II</x:v>
      </x:c>
      <x:c r="D78" s="3" t="str">
        <x:v>Series B</x:v>
      </x:c>
      <x:c r="E78" s="3" t="str">
        <x:v>Active</x:v>
      </x:c>
      <x:c r="F78" s="8" t="n">
        <x:v>44861</x:v>
      </x:c>
      <x:c r="G78" s="8" t="n">
        <x:v>45435</x:v>
      </x:c>
      <x:c r="H78" s="12" t="n">
        <x:v>91</x:v>
      </x:c>
      <x:c r="I78" s="12" t="n">
        <x:v>4</x:v>
      </x:c>
      <x:c r="J78" s="10" t="n">
        <x:v>0.037</x:v>
      </x:c>
      <x:c r="K78" s="12" t="n">
        <x:v>3.4</x:v>
      </x:c>
      <x:c r="L78" s="12" t="n">
        <x:v>0</x:v>
      </x:c>
      <x:c r="M78" s="14" t="n">
        <x:f>IF(I78=0,0,(K78+L78)/I78)</x:f>
        <x:v>0.85</x:v>
      </x:c>
      <x:c r="N78" s="12" t="n">
        <x:v>9.8</x:v>
      </x:c>
      <x:c r="O78" s="10" t="n">
        <x:v>0.52</x:v>
      </x:c>
      <x:c r="P78" s="10" t="n">
        <x:v>0.31</x:v>
      </x:c>
      <x:c r="Q78" s="12" t="n">
        <x:v>0.61</x:v>
      </x:c>
      <x:c r="R78" s="12" t="n">
        <x:v>7.7</x:v>
      </x:c>
      <x:c r="S78" s="12" t="n">
        <x:f>IF(OR(E78&lt;&gt;"Active",Q78=0),"-",R78/Q78)</x:f>
        <x:v>12.622950819672132</x:v>
      </x:c>
      <x:c r="T78" s="16" t="n">
        <x:v>95</x:v>
      </x:c>
    </x:row>
    <x:row r="79" ht="24" customHeight="1">
      <x:c r="A79" s="7" t="str">
        <x:v>Alderpoint</x:v>
      </x:c>
      <x:c r="B79" s="7" t="str">
        <x:v>AI/ML</x:v>
      </x:c>
      <x:c r="C79" s="7" t="str">
        <x:v>Fund II</x:v>
      </x:c>
      <x:c r="D79" s="7" t="str">
        <x:v>Seed</x:v>
      </x:c>
      <x:c r="E79" s="7" t="str">
        <x:v>Active</x:v>
      </x:c>
      <x:c r="F79" s="9" t="n">
        <x:v>45139</x:v>
      </x:c>
      <x:c r="G79" s="9" t="n">
        <x:v>45139</x:v>
      </x:c>
      <x:c r="H79" s="13" t="n">
        <x:v>12.5</x:v>
      </x:c>
      <x:c r="I79" s="13" t="n">
        <x:v>1</x:v>
      </x:c>
      <x:c r="J79" s="11" t="n">
        <x:v>0.103</x:v>
      </x:c>
      <x:c r="K79" s="13" t="n">
        <x:v>1.3</x:v>
      </x:c>
      <x:c r="L79" s="13" t="n">
        <x:v>0</x:v>
      </x:c>
      <x:c r="M79" s="15" t="n">
        <x:f>IF(I79=0,0,(K79+L79)/I79)</x:f>
        <x:v>1.3</x:v>
      </x:c>
      <x:c r="N79" s="13" t="n">
        <x:v>0.4</x:v>
      </x:c>
      <x:c r="O79" s="11" t="n">
        <x:v>2.9</x:v>
      </x:c>
      <x:c r="P79" s="11" t="n">
        <x:v>0.76</x:v>
      </x:c>
      <x:c r="Q79" s="13" t="n">
        <x:v>0.25</x:v>
      </x:c>
      <x:c r="R79" s="13" t="n">
        <x:v>3.5</x:v>
      </x:c>
      <x:c r="S79" s="13" t="n">
        <x:f>IF(OR(E79&lt;&gt;"Active",Q79=0),"-",R79/Q79)</x:f>
        <x:v>14</x:v>
      </x:c>
      <x:c r="T79" s="17" t="n">
        <x:v>22</x:v>
      </x:c>
    </x:row>
    <x:row r="80" ht="24" customHeight="1">
      <x:c r="A80" s="3" t="str">
        <x:v>Brackenvale</x:v>
      </x:c>
      <x:c r="B80" s="3" t="str">
        <x:v>Healthcare</x:v>
      </x:c>
      <x:c r="C80" s="3" t="str">
        <x:v>Fund I</x:v>
      </x:c>
      <x:c r="D80" s="3" t="str">
        <x:v>Series C</x:v>
      </x:c>
      <x:c r="E80" s="3" t="str">
        <x:v>Active</x:v>
      </x:c>
      <x:c r="F80" s="8" t="n">
        <x:v>43796</x:v>
      </x:c>
      <x:c r="G80" s="8" t="n">
        <x:v>44925</x:v>
      </x:c>
      <x:c r="H80" s="12" t="n">
        <x:v>415.9</x:v>
      </x:c>
      <x:c r="I80" s="12" t="n">
        <x:v>6</x:v>
      </x:c>
      <x:c r="J80" s="10" t="n">
        <x:v>0.021</x:v>
      </x:c>
      <x:c r="K80" s="12" t="n">
        <x:v>8.7</x:v>
      </x:c>
      <x:c r="L80" s="12" t="n">
        <x:v>0</x:v>
      </x:c>
      <x:c r="M80" s="14" t="n">
        <x:f>IF(I80=0,0,(K80+L80)/I80)</x:f>
        <x:v>1.45</x:v>
      </x:c>
      <x:c r="N80" s="12" t="n">
        <x:v>64.1</x:v>
      </x:c>
      <x:c r="O80" s="10" t="n">
        <x:v>0.31</x:v>
      </x:c>
      <x:c r="P80" s="10" t="n">
        <x:v>0.49</x:v>
      </x:c>
      <x:c r="Q80" s="12" t="n">
        <x:v>2.97</x:v>
      </x:c>
      <x:c r="R80" s="12" t="n">
        <x:v>57.5</x:v>
      </x:c>
      <x:c r="S80" s="12" t="n">
        <x:f>IF(OR(E80&lt;&gt;"Active",Q80=0),"-",R80/Q80)</x:f>
        <x:v>19.36026936026936</x:v>
      </x:c>
      <x:c r="T80" s="16" t="n">
        <x:v>191</x:v>
      </x:c>
    </x:row>
    <x:row r="81" ht="24" customHeight="1">
      <x:c r="A81" s="7" t="str">
        <x:v>Coppermoss Energy</x:v>
      </x:c>
      <x:c r="B81" s="7" t="str">
        <x:v>Enterprise SaaS</x:v>
      </x:c>
      <x:c r="C81" s="7" t="str">
        <x:v>Fund III</x:v>
      </x:c>
      <x:c r="D81" s="7" t="str">
        <x:v>Seed</x:v>
      </x:c>
      <x:c r="E81" s="7" t="str">
        <x:v>Active</x:v>
      </x:c>
      <x:c r="F81" s="9" t="n">
        <x:v>45725</x:v>
      </x:c>
      <x:c r="G81" s="9" t="n">
        <x:v>45725</x:v>
      </x:c>
      <x:c r="H81" s="13" t="n">
        <x:v>25.5</x:v>
      </x:c>
      <x:c r="I81" s="13" t="n">
        <x:v>2.4</x:v>
      </x:c>
      <x:c r="J81" s="11" t="n">
        <x:v>0.101</x:v>
      </x:c>
      <x:c r="K81" s="13" t="n">
        <x:v>2.6</x:v>
      </x:c>
      <x:c r="L81" s="13" t="n">
        <x:v>0</x:v>
      </x:c>
      <x:c r="M81" s="15" t="n">
        <x:f>IF(I81=0,0,(K81+L81)/I81)</x:f>
        <x:v>1.0833333333333335</x:v>
      </x:c>
      <x:c r="N81" s="13" t="n">
        <x:v>0.9</x:v>
      </x:c>
      <x:c r="O81" s="11" t="n">
        <x:v>0.75</x:v>
      </x:c>
      <x:c r="P81" s="11" t="n">
        <x:v>0.7</x:v>
      </x:c>
      <x:c r="Q81" s="13" t="n">
        <x:v>0.24</x:v>
      </x:c>
      <x:c r="R81" s="13" t="n">
        <x:v>7.8</x:v>
      </x:c>
      <x:c r="S81" s="13" t="n">
        <x:f>IF(OR(E81&lt;&gt;"Active",Q81=0),"-",R81/Q81)</x:f>
        <x:v>32.5</x:v>
      </x:c>
      <x:c r="T81" s="17" t="n">
        <x:v>11</x:v>
      </x:c>
    </x:row>
    <x:row r="82" ht="24" customHeight="1">
      <x:c r="A82" s="3" t="str">
        <x:v>Dellforge</x:v>
      </x:c>
      <x:c r="B82" s="3" t="str">
        <x:v>Developer Tools</x:v>
      </x:c>
      <x:c r="C82" s="3" t="str">
        <x:v>Fund I</x:v>
      </x:c>
      <x:c r="D82" s="3" t="str">
        <x:v>Series C</x:v>
      </x:c>
      <x:c r="E82" s="3" t="str">
        <x:v>Active</x:v>
      </x:c>
      <x:c r="F82" s="8" t="n">
        <x:v>44159</x:v>
      </x:c>
      <x:c r="G82" s="8" t="n">
        <x:v>45866</x:v>
      </x:c>
      <x:c r="H82" s="12" t="n">
        <x:v>677.3</x:v>
      </x:c>
      <x:c r="I82" s="12" t="n">
        <x:v>14.4</x:v>
      </x:c>
      <x:c r="J82" s="10" t="n">
        <x:v>0.041</x:v>
      </x:c>
      <x:c r="K82" s="12" t="n">
        <x:v>27.8</x:v>
      </x:c>
      <x:c r="L82" s="12" t="n">
        <x:v>0</x:v>
      </x:c>
      <x:c r="M82" s="14" t="n">
        <x:f>IF(I82=0,0,(K82+L82)/I82)</x:f>
        <x:v>1.9305555555555556</x:v>
      </x:c>
      <x:c r="N82" s="12" t="n">
        <x:v>78.8</x:v>
      </x:c>
      <x:c r="O82" s="10" t="n">
        <x:v>0.29</x:v>
      </x:c>
      <x:c r="P82" s="10" t="n">
        <x:v>0.7</x:v>
      </x:c>
      <x:c r="Q82" s="12" t="n">
        <x:v>2.46</x:v>
      </x:c>
      <x:c r="R82" s="12" t="n">
        <x:v>73.6</x:v>
      </x:c>
      <x:c r="S82" s="12" t="n">
        <x:f>IF(OR(E82&lt;&gt;"Active",Q82=0),"-",R82/Q82)</x:f>
        <x:v>29.91869918699187</x:v>
      </x:c>
      <x:c r="T82" s="16" t="n">
        <x:v>582</x:v>
      </x:c>
    </x:row>
    <x:row r="83" ht="24" customHeight="1">
      <x:c r="A83" s="7" t="str">
        <x:v>Everbrook Analytics</x:v>
      </x:c>
      <x:c r="B83" s="7" t="str">
        <x:v>Enterprise SaaS</x:v>
      </x:c>
      <x:c r="C83" s="7" t="str">
        <x:v>Fund II</x:v>
      </x:c>
      <x:c r="D83" s="7" t="str">
        <x:v>Series B</x:v>
      </x:c>
      <x:c r="E83" s="7" t="str">
        <x:v>Shut Down</x:v>
      </x:c>
      <x:c r="F83" s="9" t="n">
        <x:v>45024</x:v>
      </x:c>
      <x:c r="G83" s="9" t="n">
        <x:v>45482</x:v>
      </x:c>
      <x:c r="H83" s="13" t="n">
        <x:v>130.7</x:v>
      </x:c>
      <x:c r="I83" s="13" t="n">
        <x:v>5.3</x:v>
      </x:c>
      <x:c r="J83" s="11" t="n">
        <x:v>0.037</x:v>
      </x:c>
      <x:c r="K83" s="13" t="n">
        <x:v>0</x:v>
      </x:c>
      <x:c r="L83" s="13" t="n">
        <x:v>0</x:v>
      </x:c>
      <x:c r="M83" s="15" t="n">
        <x:f>IF(I83=0,0,(K83+L83)/I83)</x:f>
        <x:v>0</x:v>
      </x:c>
      <x:c r="N83" s="13"/>
      <x:c r="O83" s="11"/>
      <x:c r="P83" s="11"/>
      <x:c r="Q83" s="13"/>
      <x:c r="R83" s="13"/>
      <x:c r="S83" s="13" t="str">
        <x:f>IF(OR(E83&lt;&gt;"Active",Q83=0),"-",R83/Q83)</x:f>
        <x:v>-</x:v>
      </x:c>
      <x:c r="T83" s="17"/>
    </x:row>
    <x:row r="84" ht="24" customHeight="1">
      <x:c r="A84" s="3" t="str">
        <x:v>Fenwright</x:v>
      </x:c>
      <x:c r="B84" s="3" t="str">
        <x:v>Enterprise SaaS</x:v>
      </x:c>
      <x:c r="C84" s="3" t="str">
        <x:v>Fund I</x:v>
      </x:c>
      <x:c r="D84" s="3" t="str">
        <x:v>Series C</x:v>
      </x:c>
      <x:c r="E84" s="3" t="str">
        <x:v>Active</x:v>
      </x:c>
      <x:c r="F84" s="8" t="n">
        <x:v>43828</x:v>
      </x:c>
      <x:c r="G84" s="8" t="n">
        <x:v>45127</x:v>
      </x:c>
      <x:c r="H84" s="12" t="n">
        <x:v>285.1</x:v>
      </x:c>
      <x:c r="I84" s="12" t="n">
        <x:v>12.4</x:v>
      </x:c>
      <x:c r="J84" s="10" t="n">
        <x:v>0.038</x:v>
      </x:c>
      <x:c r="K84" s="12" t="n">
        <x:v>10.8</x:v>
      </x:c>
      <x:c r="L84" s="12" t="n">
        <x:v>0</x:v>
      </x:c>
      <x:c r="M84" s="14" t="n">
        <x:f>IF(I84=0,0,(K84+L84)/I84)</x:f>
        <x:v>0.8709677419354839</x:v>
      </x:c>
      <x:c r="N84" s="12" t="n">
        <x:v>68.6</x:v>
      </x:c>
      <x:c r="O84" s="10" t="n">
        <x:v>0.53</x:v>
      </x:c>
      <x:c r="P84" s="10" t="n">
        <x:v>0.82</x:v>
      </x:c>
      <x:c r="Q84" s="12" t="n">
        <x:v>2.95</x:v>
      </x:c>
      <x:c r="R84" s="12" t="n">
        <x:v>56</x:v>
      </x:c>
      <x:c r="S84" s="12" t="n">
        <x:f>IF(OR(E84&lt;&gt;"Active",Q84=0),"-",R84/Q84)</x:f>
        <x:v>18.983050847457626</x:v>
      </x:c>
      <x:c r="T84" s="16" t="n">
        <x:v>514</x:v>
      </x:c>
    </x:row>
    <x:row r="85" ht="24" customHeight="1">
      <x:c r="A85" s="7" t="str">
        <x:v>Gablewood</x:v>
      </x:c>
      <x:c r="B85" s="7" t="str">
        <x:v>AI/ML</x:v>
      </x:c>
      <x:c r="C85" s="7" t="str">
        <x:v>Fund III</x:v>
      </x:c>
      <x:c r="D85" s="7" t="str">
        <x:v>Seed</x:v>
      </x:c>
      <x:c r="E85" s="7" t="str">
        <x:v>Active</x:v>
      </x:c>
      <x:c r="F85" s="9" t="n">
        <x:v>45481</x:v>
      </x:c>
      <x:c r="G85" s="9" t="n">
        <x:v>45910</x:v>
      </x:c>
      <x:c r="H85" s="13" t="n">
        <x:v>10.1</x:v>
      </x:c>
      <x:c r="I85" s="13" t="n">
        <x:v>1</x:v>
      </x:c>
      <x:c r="J85" s="11" t="n">
        <x:v>0.063</x:v>
      </x:c>
      <x:c r="K85" s="13" t="n">
        <x:v>0.6</x:v>
      </x:c>
      <x:c r="L85" s="13" t="n">
        <x:v>0</x:v>
      </x:c>
      <x:c r="M85" s="15" t="n">
        <x:f>IF(I85=0,0,(K85+L85)/I85)</x:f>
        <x:v>0.6</x:v>
      </x:c>
      <x:c r="N85" s="13" t="n">
        <x:v>0.9</x:v>
      </x:c>
      <x:c r="O85" s="11" t="n">
        <x:v>0.64</x:v>
      </x:c>
      <x:c r="P85" s="11" t="n">
        <x:v>0.67</x:v>
      </x:c>
      <x:c r="Q85" s="13" t="n">
        <x:v>0.22</x:v>
      </x:c>
      <x:c r="R85" s="13" t="n">
        <x:v>4.7</x:v>
      </x:c>
      <x:c r="S85" s="13" t="n">
        <x:f>IF(OR(E85&lt;&gt;"Active",Q85=0),"-",R85/Q85)</x:f>
        <x:v>21.363636363636363</x:v>
      </x:c>
      <x:c r="T85" s="17" t="n">
        <x:v>15</x:v>
      </x:c>
    </x:row>
    <x:row r="86" ht="24" customHeight="1">
      <x:c r="A86" s="3" t="str">
        <x:v>Harrowgate Bio</x:v>
      </x:c>
      <x:c r="B86" s="3" t="str">
        <x:v>Infrastructure</x:v>
      </x:c>
      <x:c r="C86" s="3" t="str">
        <x:v>Fund III</x:v>
      </x:c>
      <x:c r="D86" s="3" t="str">
        <x:v>Series A</x:v>
      </x:c>
      <x:c r="E86" s="3" t="str">
        <x:v>Active</x:v>
      </x:c>
      <x:c r="F86" s="8" t="n">
        <x:v>46125</x:v>
      </x:c>
      <x:c r="G86" s="8" t="n">
        <x:v>46125</x:v>
      </x:c>
      <x:c r="H86" s="12" t="n">
        <x:v>86.9</x:v>
      </x:c>
      <x:c r="I86" s="12" t="n">
        <x:v>5.4</x:v>
      </x:c>
      <x:c r="J86" s="10" t="n">
        <x:v>0.07</x:v>
      </x:c>
      <x:c r="K86" s="12" t="n">
        <x:v>6.1</x:v>
      </x:c>
      <x:c r="L86" s="12" t="n">
        <x:v>0</x:v>
      </x:c>
      <x:c r="M86" s="14" t="n">
        <x:f>IF(I86=0,0,(K86+L86)/I86)</x:f>
        <x:v>1.1296296296296295</x:v>
      </x:c>
      <x:c r="N86" s="12" t="n">
        <x:v>3.9</x:v>
      </x:c>
      <x:c r="O86" s="10" t="n">
        <x:v>1.73</x:v>
      </x:c>
      <x:c r="P86" s="10" t="n">
        <x:v>0.59</x:v>
      </x:c>
      <x:c r="Q86" s="12" t="n">
        <x:v>0.72</x:v>
      </x:c>
      <x:c r="R86" s="12" t="n">
        <x:v>17.9</x:v>
      </x:c>
      <x:c r="S86" s="12" t="n">
        <x:f>IF(OR(E86&lt;&gt;"Active",Q86=0),"-",R86/Q86)</x:f>
        <x:v>24.86111111111111</x:v>
      </x:c>
      <x:c r="T86" s="16" t="n">
        <x:v>67</x:v>
      </x:c>
    </x:row>
    <x:row r="87" ht="24" customHeight="1">
      <x:c r="A87" s="7" t="str">
        <x:v>Islewind</x:v>
      </x:c>
      <x:c r="B87" s="7" t="str">
        <x:v>Infrastructure</x:v>
      </x:c>
      <x:c r="C87" s="7" t="str">
        <x:v>Fund II</x:v>
      </x:c>
      <x:c r="D87" s="7" t="str">
        <x:v>Series B</x:v>
      </x:c>
      <x:c r="E87" s="7" t="str">
        <x:v>Active</x:v>
      </x:c>
      <x:c r="F87" s="9" t="n">
        <x:v>44474</x:v>
      </x:c>
      <x:c r="G87" s="9" t="n">
        <x:v>44995</x:v>
      </x:c>
      <x:c r="H87" s="13" t="n">
        <x:v>278.1</x:v>
      </x:c>
      <x:c r="I87" s="13" t="n">
        <x:v>10</x:v>
      </x:c>
      <x:c r="J87" s="11" t="n">
        <x:v>0.036</x:v>
      </x:c>
      <x:c r="K87" s="13" t="n">
        <x:v>10</x:v>
      </x:c>
      <x:c r="L87" s="13" t="n">
        <x:v>0</x:v>
      </x:c>
      <x:c r="M87" s="15" t="n">
        <x:f>IF(I87=0,0,(K87+L87)/I87)</x:f>
        <x:v>1</x:v>
      </x:c>
      <x:c r="N87" s="13" t="n">
        <x:v>12.7</x:v>
      </x:c>
      <x:c r="O87" s="11" t="n">
        <x:v>0.75</x:v>
      </x:c>
      <x:c r="P87" s="11" t="n">
        <x:v>0.67</x:v>
      </x:c>
      <x:c r="Q87" s="13" t="n">
        <x:v>1.31</x:v>
      </x:c>
      <x:c r="R87" s="13" t="n">
        <x:v>10.5</x:v>
      </x:c>
      <x:c r="S87" s="13" t="n">
        <x:f>IF(OR(E87&lt;&gt;"Active",Q87=0),"-",R87/Q87)</x:f>
        <x:v>8.015267175572518</x:v>
      </x:c>
      <x:c r="T87" s="17" t="n">
        <x:v>122</x:v>
      </x:c>
    </x:row>
    <x:row r="88" ht="24" customHeight="1">
      <x:c r="A88" s="3" t="str">
        <x:v>Juttermill</x:v>
      </x:c>
      <x:c r="B88" s="3" t="str">
        <x:v>Enterprise SaaS</x:v>
      </x:c>
      <x:c r="C88" s="3" t="str">
        <x:v>Fund I</x:v>
      </x:c>
      <x:c r="D88" s="3" t="str">
        <x:v>Series A</x:v>
      </x:c>
      <x:c r="E88" s="3" t="str">
        <x:v>Active</x:v>
      </x:c>
      <x:c r="F88" s="8" t="n">
        <x:v>43890</x:v>
      </x:c>
      <x:c r="G88" s="8" t="n">
        <x:v>44455</x:v>
      </x:c>
      <x:c r="H88" s="12" t="n">
        <x:v>8.2</x:v>
      </x:c>
      <x:c r="I88" s="12" t="n">
        <x:v>2</x:v>
      </x:c>
      <x:c r="J88" s="10" t="n">
        <x:v>0.08</x:v>
      </x:c>
      <x:c r="K88" s="12" t="n">
        <x:v>0.7</x:v>
      </x:c>
      <x:c r="L88" s="12" t="n">
        <x:v>0</x:v>
      </x:c>
      <x:c r="M88" s="14" t="n">
        <x:f>IF(I88=0,0,(K88+L88)/I88)</x:f>
        <x:v>0.35</x:v>
      </x:c>
      <x:c r="N88" s="12" t="n">
        <x:v>4.8</x:v>
      </x:c>
      <x:c r="O88" s="10" t="n">
        <x:v>1.01</x:v>
      </x:c>
      <x:c r="P88" s="10" t="n">
        <x:v>0.75</x:v>
      </x:c>
      <x:c r="Q88" s="12" t="n">
        <x:v>0.44</x:v>
      </x:c>
      <x:c r="R88" s="12" t="n">
        <x:v>11.7</x:v>
      </x:c>
      <x:c r="S88" s="12" t="n">
        <x:f>IF(OR(E88&lt;&gt;"Active",Q88=0),"-",R88/Q88)</x:f>
        <x:v>26.59090909090909</x:v>
      </x:c>
      <x:c r="T88" s="16" t="n">
        <x:v>53</x:v>
      </x:c>
    </x:row>
    <x:row r="89" ht="24" customHeight="1">
      <x:c r="A89" s="7" t="str">
        <x:v>Knollward</x:v>
      </x:c>
      <x:c r="B89" s="7" t="str">
        <x:v>AI/ML</x:v>
      </x:c>
      <x:c r="C89" s="7" t="str">
        <x:v>Fund I</x:v>
      </x:c>
      <x:c r="D89" s="7" t="str">
        <x:v>Series C</x:v>
      </x:c>
      <x:c r="E89" s="7" t="str">
        <x:v>Active</x:v>
      </x:c>
      <x:c r="F89" s="9" t="n">
        <x:v>44314</x:v>
      </x:c>
      <x:c r="G89" s="9" t="n">
        <x:v>44806</x:v>
      </x:c>
      <x:c r="H89" s="13" t="n">
        <x:v>842.1</x:v>
      </x:c>
      <x:c r="I89" s="13" t="n">
        <x:v>14</x:v>
      </x:c>
      <x:c r="J89" s="11" t="n">
        <x:v>0.058</x:v>
      </x:c>
      <x:c r="K89" s="13" t="n">
        <x:v>48.8</x:v>
      </x:c>
      <x:c r="L89" s="13" t="n">
        <x:v>0</x:v>
      </x:c>
      <x:c r="M89" s="15" t="n">
        <x:f>IF(I89=0,0,(K89+L89)/I89)</x:f>
        <x:v>3.4857142857142853</x:v>
      </x:c>
      <x:c r="N89" s="13" t="n">
        <x:v>54.5</x:v>
      </x:c>
      <x:c r="O89" s="11" t="n">
        <x:v>0.72</x:v>
      </x:c>
      <x:c r="P89" s="11" t="n">
        <x:v>0.62</x:v>
      </x:c>
      <x:c r="Q89" s="13" t="n">
        <x:v>2.73</x:v>
      </x:c>
      <x:c r="R89" s="13" t="n">
        <x:v>50</x:v>
      </x:c>
      <x:c r="S89" s="13" t="n">
        <x:f>IF(OR(E89&lt;&gt;"Active",Q89=0),"-",R89/Q89)</x:f>
        <x:v>18.315018315018314</x:v>
      </x:c>
      <x:c r="T89" s="17" t="n">
        <x:v>495</x:v>
      </x:c>
    </x:row>
    <x:row r="90" ht="24" customHeight="1">
      <x:c r="A90" s="3" t="str">
        <x:v>Lanternfell Space</x:v>
      </x:c>
      <x:c r="B90" s="3" t="str">
        <x:v>Enterprise SaaS</x:v>
      </x:c>
      <x:c r="C90" s="3" t="str">
        <x:v>Fund II</x:v>
      </x:c>
      <x:c r="D90" s="3" t="str">
        <x:v>Series C</x:v>
      </x:c>
      <x:c r="E90" s="3" t="str">
        <x:v>Active</x:v>
      </x:c>
      <x:c r="F90" s="8" t="n">
        <x:v>44969</x:v>
      </x:c>
      <x:c r="G90" s="8" t="n">
        <x:v>45826</x:v>
      </x:c>
      <x:c r="H90" s="12" t="n">
        <x:v>653.6</x:v>
      </x:c>
      <x:c r="I90" s="12" t="n">
        <x:v>15</x:v>
      </x:c>
      <x:c r="J90" s="10" t="n">
        <x:v>0.057</x:v>
      </x:c>
      <x:c r="K90" s="12" t="n">
        <x:v>37.3</x:v>
      </x:c>
      <x:c r="L90" s="12" t="n">
        <x:v>0</x:v>
      </x:c>
      <x:c r="M90" s="14" t="n">
        <x:f>IF(I90=0,0,(K90+L90)/I90)</x:f>
        <x:v>2.4866666666666664</x:v>
      </x:c>
      <x:c r="N90" s="12" t="n">
        <x:v>74</x:v>
      </x:c>
      <x:c r="O90" s="10" t="n">
        <x:v>0.55</x:v>
      </x:c>
      <x:c r="P90" s="10" t="n">
        <x:v>0.73</x:v>
      </x:c>
      <x:c r="Q90" s="12" t="n">
        <x:v>1.64</x:v>
      </x:c>
      <x:c r="R90" s="12" t="n">
        <x:v>22.2</x:v>
      </x:c>
      <x:c r="S90" s="12" t="n">
        <x:f>IF(OR(E90&lt;&gt;"Active",Q90=0),"-",R90/Q90)</x:f>
        <x:v>13.536585365853659</x:v>
      </x:c>
      <x:c r="T90" s="16" t="n">
        <x:v>320</x:v>
      </x:c>
    </x:row>
    <x:row r="91" ht="24" customHeight="1">
      <x:c r="A91" s="7" t="str">
        <x:v>Mardellan</x:v>
      </x:c>
      <x:c r="B91" s="7" t="str">
        <x:v>Robotics</x:v>
      </x:c>
      <x:c r="C91" s="7" t="str">
        <x:v>Fund I</x:v>
      </x:c>
      <x:c r="D91" s="7" t="str">
        <x:v>Series D+</x:v>
      </x:c>
      <x:c r="E91" s="7" t="str">
        <x:v>Active</x:v>
      </x:c>
      <x:c r="F91" s="9" t="n">
        <x:v>43980</x:v>
      </x:c>
      <x:c r="G91" s="9" t="n">
        <x:v>44702</x:v>
      </x:c>
      <x:c r="H91" s="13" t="n">
        <x:v>5699.4</x:v>
      </x:c>
      <x:c r="I91" s="13" t="n">
        <x:v>10.9</x:v>
      </x:c>
      <x:c r="J91" s="11" t="n">
        <x:v>0.012</x:v>
      </x:c>
      <x:c r="K91" s="13" t="n">
        <x:v>68.4</x:v>
      </x:c>
      <x:c r="L91" s="13" t="n">
        <x:v>0</x:v>
      </x:c>
      <x:c r="M91" s="15" t="n">
        <x:f>IF(I91=0,0,(K91+L91)/I91)</x:f>
        <x:v>6.275229357798166</x:v>
      </x:c>
      <x:c r="N91" s="13" t="n">
        <x:v>252.8</x:v>
      </x:c>
      <x:c r="O91" s="11" t="n">
        <x:v>0.54</x:v>
      </x:c>
      <x:c r="P91" s="11" t="n">
        <x:v>0.45</x:v>
      </x:c>
      <x:c r="Q91" s="13" t="n">
        <x:v>3.63</x:v>
      </x:c>
      <x:c r="R91" s="13" t="n">
        <x:v>57.8</x:v>
      </x:c>
      <x:c r="S91" s="13" t="n">
        <x:f>IF(OR(E91&lt;&gt;"Active",Q91=0),"-",R91/Q91)</x:f>
        <x:v>15.922865013774105</x:v>
      </x:c>
      <x:c r="T91" s="17" t="n">
        <x:v>718</x:v>
      </x:c>
    </x:row>
    <x:row r="92" ht="24" customHeight="1">
      <x:c r="A92" s="3" t="str">
        <x:v>Northquill</x:v>
      </x:c>
      <x:c r="B92" s="3" t="str">
        <x:v>Cybersecurity</x:v>
      </x:c>
      <x:c r="C92" s="3" t="str">
        <x:v>Fund I</x:v>
      </x:c>
      <x:c r="D92" s="3" t="str">
        <x:v>Series B</x:v>
      </x:c>
      <x:c r="E92" s="3" t="str">
        <x:v>Active</x:v>
      </x:c>
      <x:c r="F92" s="8" t="n">
        <x:v>44352</x:v>
      </x:c>
      <x:c r="G92" s="8" t="n">
        <x:v>45266</x:v>
      </x:c>
      <x:c r="H92" s="12" t="n">
        <x:v>289.9</x:v>
      </x:c>
      <x:c r="I92" s="12" t="n">
        <x:v>10</x:v>
      </x:c>
      <x:c r="J92" s="10" t="n">
        <x:v>0.083</x:v>
      </x:c>
      <x:c r="K92" s="12" t="n">
        <x:v>24.1</x:v>
      </x:c>
      <x:c r="L92" s="12" t="n">
        <x:v>0</x:v>
      </x:c>
      <x:c r="M92" s="14" t="n">
        <x:f>IF(I92=0,0,(K92+L92)/I92)</x:f>
        <x:v>2.41</x:v>
      </x:c>
      <x:c r="N92" s="12" t="n">
        <x:v>12.8</x:v>
      </x:c>
      <x:c r="O92" s="10" t="n">
        <x:v>0.79</x:v>
      </x:c>
      <x:c r="P92" s="10" t="n">
        <x:v>0.7</x:v>
      </x:c>
      <x:c r="Q92" s="12" t="n">
        <x:v>0.69</x:v>
      </x:c>
      <x:c r="R92" s="12" t="n">
        <x:v>5.6</x:v>
      </x:c>
      <x:c r="S92" s="12" t="n">
        <x:f>IF(OR(E92&lt;&gt;"Active",Q92=0),"-",R92/Q92)</x:f>
        <x:v>8.115942028985508</x:v>
      </x:c>
      <x:c r="T92" s="16" t="n">
        <x:v>92</x:v>
      </x:c>
    </x:row>
    <x:row r="93" ht="24" customHeight="1">
      <x:c r="A93" s="7" t="str">
        <x:v>Oxbowlane</x:v>
      </x:c>
      <x:c r="B93" s="7" t="str">
        <x:v>Developer Tools</x:v>
      </x:c>
      <x:c r="C93" s="7" t="str">
        <x:v>Fund II</x:v>
      </x:c>
      <x:c r="D93" s="7" t="str">
        <x:v>Series B</x:v>
      </x:c>
      <x:c r="E93" s="7" t="str">
        <x:v>Active</x:v>
      </x:c>
      <x:c r="F93" s="9" t="n">
        <x:v>44470</x:v>
      </x:c>
      <x:c r="G93" s="9" t="n">
        <x:v>45898</x:v>
      </x:c>
      <x:c r="H93" s="13" t="n">
        <x:v>302.2</x:v>
      </x:c>
      <x:c r="I93" s="13" t="n">
        <x:v>10</x:v>
      </x:c>
      <x:c r="J93" s="11" t="n">
        <x:v>0.043</x:v>
      </x:c>
      <x:c r="K93" s="13" t="n">
        <x:v>13</x:v>
      </x:c>
      <x:c r="L93" s="13" t="n">
        <x:v>0</x:v>
      </x:c>
      <x:c r="M93" s="15" t="n">
        <x:f>IF(I93=0,0,(K93+L93)/I93)</x:f>
        <x:v>1.3</x:v>
      </x:c>
      <x:c r="N93" s="13" t="n">
        <x:v>14.3</x:v>
      </x:c>
      <x:c r="O93" s="11" t="n">
        <x:v>0.46</x:v>
      </x:c>
      <x:c r="P93" s="11" t="n">
        <x:v>0.71</x:v>
      </x:c>
      <x:c r="Q93" s="13" t="n">
        <x:v>1.37</x:v>
      </x:c>
      <x:c r="R93" s="13" t="n">
        <x:v>29.3</x:v>
      </x:c>
      <x:c r="S93" s="13" t="n">
        <x:f>IF(OR(E93&lt;&gt;"Active",Q93=0),"-",R93/Q93)</x:f>
        <x:v>21.38686131386861</x:v>
      </x:c>
      <x:c r="T93" s="17" t="n">
        <x:v>78</x:v>
      </x:c>
    </x:row>
    <x:row r="94" ht="24" customHeight="1">
      <x:c r="A94" s="3" t="str">
        <x:v>Petrelbay</x:v>
      </x:c>
      <x:c r="B94" s="3" t="str">
        <x:v>Infrastructure</x:v>
      </x:c>
      <x:c r="C94" s="3" t="str">
        <x:v>Fund III</x:v>
      </x:c>
      <x:c r="D94" s="3" t="str">
        <x:v>Seed</x:v>
      </x:c>
      <x:c r="E94" s="3" t="str">
        <x:v>Active</x:v>
      </x:c>
      <x:c r="F94" s="8" t="n">
        <x:v>45630</x:v>
      </x:c>
      <x:c r="G94" s="8" t="n">
        <x:v>45630</x:v>
      </x:c>
      <x:c r="H94" s="12" t="n">
        <x:v>22.6</x:v>
      </x:c>
      <x:c r="I94" s="12" t="n">
        <x:v>1.8</x:v>
      </x:c>
      <x:c r="J94" s="10" t="n">
        <x:v>0.077</x:v>
      </x:c>
      <x:c r="K94" s="12" t="n">
        <x:v>1.7</x:v>
      </x:c>
      <x:c r="L94" s="12" t="n">
        <x:v>0</x:v>
      </x:c>
      <x:c r="M94" s="14" t="n">
        <x:f>IF(I94=0,0,(K94+L94)/I94)</x:f>
        <x:v>0.9444444444444444</x:v>
      </x:c>
      <x:c r="N94" s="12" t="n">
        <x:v>0.7</x:v>
      </x:c>
      <x:c r="O94" s="10" t="n">
        <x:v>-0.3</x:v>
      </x:c>
      <x:c r="P94" s="10" t="n">
        <x:v>0.51</x:v>
      </x:c>
      <x:c r="Q94" s="12" t="n">
        <x:v>0.27</x:v>
      </x:c>
      <x:c r="R94" s="12" t="n">
        <x:v>5.2</x:v>
      </x:c>
      <x:c r="S94" s="12" t="n">
        <x:f>IF(OR(E94&lt;&gt;"Active",Q94=0),"-",R94/Q94)</x:f>
        <x:v>19.25925925925926</x:v>
      </x:c>
      <x:c r="T94" s="16" t="n">
        <x:v>17</x:v>
      </x:c>
    </x:row>
    <x:row r="95" ht="24" customHeight="1">
      <x:c r="A95" s="7" t="str">
        <x:v>Quenchpoint Energy</x:v>
      </x:c>
      <x:c r="B95" s="7" t="str">
        <x:v>Fintech</x:v>
      </x:c>
      <x:c r="C95" s="7" t="str">
        <x:v>Fund II</x:v>
      </x:c>
      <x:c r="D95" s="7" t="str">
        <x:v>Series A</x:v>
      </x:c>
      <x:c r="E95" s="7" t="str">
        <x:v>Active</x:v>
      </x:c>
      <x:c r="F95" s="9" t="n">
        <x:v>45113</x:v>
      </x:c>
      <x:c r="G95" s="9" t="n">
        <x:v>45727</x:v>
      </x:c>
      <x:c r="H95" s="13" t="n">
        <x:v>60.3</x:v>
      </x:c>
      <x:c r="I95" s="13" t="n">
        <x:v>6</x:v>
      </x:c>
      <x:c r="J95" s="11" t="n">
        <x:v>0.13</x:v>
      </x:c>
      <x:c r="K95" s="13" t="n">
        <x:v>7.8</x:v>
      </x:c>
      <x:c r="L95" s="13" t="n">
        <x:v>0</x:v>
      </x:c>
      <x:c r="M95" s="15" t="n">
        <x:f>IF(I95=0,0,(K95+L95)/I95)</x:f>
        <x:v>1.3</x:v>
      </x:c>
      <x:c r="N95" s="13" t="n">
        <x:v>1.7</x:v>
      </x:c>
      <x:c r="O95" s="11" t="n">
        <x:v>0.62</x:v>
      </x:c>
      <x:c r="P95" s="11" t="n">
        <x:v>0.7</x:v>
      </x:c>
      <x:c r="Q95" s="13" t="n">
        <x:v>0.27</x:v>
      </x:c>
      <x:c r="R95" s="13" t="n">
        <x:v>5</x:v>
      </x:c>
      <x:c r="S95" s="13" t="n">
        <x:f>IF(OR(E95&lt;&gt;"Active",Q95=0),"-",R95/Q95)</x:f>
        <x:v>18.51851851851852</x:v>
      </x:c>
      <x:c r="T95" s="17" t="n">
        <x:v>39</x:v>
      </x:c>
    </x:row>
    <x:row r="96" ht="24" customHeight="1">
      <x:c r="A96" s="3" t="str">
        <x:v>Saffronwell</x:v>
      </x:c>
      <x:c r="B96" s="3" t="str">
        <x:v>Data &amp; Analytics</x:v>
      </x:c>
      <x:c r="C96" s="3" t="str">
        <x:v>Fund II</x:v>
      </x:c>
      <x:c r="D96" s="3" t="str">
        <x:v>Series A</x:v>
      </x:c>
      <x:c r="E96" s="3" t="str">
        <x:v>Active</x:v>
      </x:c>
      <x:c r="F96" s="8" t="n">
        <x:v>44721</x:v>
      </x:c>
      <x:c r="G96" s="8" t="n">
        <x:v>46151</x:v>
      </x:c>
      <x:c r="H96" s="12" t="n">
        <x:v>15.6</x:v>
      </x:c>
      <x:c r="I96" s="12" t="n">
        <x:v>2.9</x:v>
      </x:c>
      <x:c r="J96" s="10" t="n">
        <x:v>0.073</x:v>
      </x:c>
      <x:c r="K96" s="12" t="n">
        <x:v>1.1</x:v>
      </x:c>
      <x:c r="L96" s="12" t="n">
        <x:v>0</x:v>
      </x:c>
      <x:c r="M96" s="14" t="n">
        <x:f>IF(I96=0,0,(K96+L96)/I96)</x:f>
        <x:v>0.37931034482758624</x:v>
      </x:c>
      <x:c r="N96" s="12" t="n">
        <x:v>1.6</x:v>
      </x:c>
      <x:c r="O96" s="10" t="n">
        <x:v>1.16</x:v>
      </x:c>
      <x:c r="P96" s="10" t="n">
        <x:v>0.74</x:v>
      </x:c>
      <x:c r="Q96" s="12" t="n">
        <x:v>0.46</x:v>
      </x:c>
      <x:c r="R96" s="12" t="n">
        <x:v>6.6</x:v>
      </x:c>
      <x:c r="S96" s="12" t="n">
        <x:f>IF(OR(E96&lt;&gt;"Active",Q96=0),"-",R96/Q96)</x:f>
        <x:v>14.34782608695652</x:v>
      </x:c>
      <x:c r="T96" s="16" t="n">
        <x:v>60</x:v>
      </x:c>
    </x:row>
    <x:row r="97" ht="24" customHeight="1">
      <x:c r="A97" s="7" t="str">
        <x:v>Thornmill Systems</x:v>
      </x:c>
      <x:c r="B97" s="7" t="str">
        <x:v>Space &amp; Defense</x:v>
      </x:c>
      <x:c r="C97" s="7" t="str">
        <x:v>Fund II</x:v>
      </x:c>
      <x:c r="D97" s="7" t="str">
        <x:v>Series D+</x:v>
      </x:c>
      <x:c r="E97" s="7" t="str">
        <x:v>Active</x:v>
      </x:c>
      <x:c r="F97" s="9" t="n">
        <x:v>45044</x:v>
      </x:c>
      <x:c r="G97" s="9" t="n">
        <x:v>45751</x:v>
      </x:c>
      <x:c r="H97" s="13" t="n">
        <x:v>2170.9</x:v>
      </x:c>
      <x:c r="I97" s="13" t="n">
        <x:v>20</x:v>
      </x:c>
      <x:c r="J97" s="11" t="n">
        <x:v>0.013</x:v>
      </x:c>
      <x:c r="K97" s="13" t="n">
        <x:v>28.2</x:v>
      </x:c>
      <x:c r="L97" s="13" t="n">
        <x:v>0</x:v>
      </x:c>
      <x:c r="M97" s="15" t="n">
        <x:f>IF(I97=0,0,(K97+L97)/I97)</x:f>
        <x:v>1.41</x:v>
      </x:c>
      <x:c r="N97" s="13" t="n">
        <x:v>189.6</x:v>
      </x:c>
      <x:c r="O97" s="11" t="n">
        <x:v>0.32</x:v>
      </x:c>
      <x:c r="P97" s="11" t="n">
        <x:v>0.47</x:v>
      </x:c>
      <x:c r="Q97" s="13" t="n">
        <x:v>1.76</x:v>
      </x:c>
      <x:c r="R97" s="13" t="n">
        <x:v>40.8</x:v>
      </x:c>
      <x:c r="S97" s="13" t="n">
        <x:f>IF(OR(E97&lt;&gt;"Active",Q97=0),"-",R97/Q97)</x:f>
        <x:v>23.18181818181818</x:v>
      </x:c>
      <x:c r="T97" s="17" t="n">
        <x:v>1545</x:v>
      </x:c>
    </x:row>
    <x:row r="98" ht="24" customHeight="1">
      <x:c r="A98" s="3" t="str">
        <x:v>Uplandreach</x:v>
      </x:c>
      <x:c r="B98" s="3" t="str">
        <x:v>Data &amp; Analytics</x:v>
      </x:c>
      <x:c r="C98" s="3" t="str">
        <x:v>Fund I</x:v>
      </x:c>
      <x:c r="D98" s="3" t="str">
        <x:v>Series A</x:v>
      </x:c>
      <x:c r="E98" s="3" t="str">
        <x:v>Active</x:v>
      </x:c>
      <x:c r="F98" s="8" t="n">
        <x:v>44153</x:v>
      </x:c>
      <x:c r="G98" s="8" t="n">
        <x:v>44564</x:v>
      </x:c>
      <x:c r="H98" s="12" t="n">
        <x:v>17.4</x:v>
      </x:c>
      <x:c r="I98" s="12" t="n">
        <x:v>2.7</x:v>
      </x:c>
      <x:c r="J98" s="10" t="n">
        <x:v>0.121</x:v>
      </x:c>
      <x:c r="K98" s="12" t="n">
        <x:v>2.1</x:v>
      </x:c>
      <x:c r="L98" s="12" t="n">
        <x:v>0</x:v>
      </x:c>
      <x:c r="M98" s="14" t="n">
        <x:f>IF(I98=0,0,(K98+L98)/I98)</x:f>
        <x:v>0.7777777777777778</x:v>
      </x:c>
      <x:c r="N98" s="12" t="n">
        <x:v>2.8</x:v>
      </x:c>
      <x:c r="O98" s="10" t="n">
        <x:v>1.99</x:v>
      </x:c>
      <x:c r="P98" s="10" t="n">
        <x:v>0.76</x:v>
      </x:c>
      <x:c r="Q98" s="12" t="n">
        <x:v>0.53</x:v>
      </x:c>
      <x:c r="R98" s="12" t="n">
        <x:v>11.1</x:v>
      </x:c>
      <x:c r="S98" s="12" t="n">
        <x:f>IF(OR(E98&lt;&gt;"Active",Q98=0),"-",R98/Q98)</x:f>
        <x:v>20.943396226415093</x:v>
      </x:c>
      <x:c r="T98" s="16" t="n">
        <x:v>64</x:v>
      </x:c>
    </x:row>
    <x:row r="99" ht="24" customHeight="1">
      <x:c r="A99" s="7" t="str">
        <x:v>Ventabrook</x:v>
      </x:c>
      <x:c r="B99" s="7" t="str">
        <x:v>Developer Tools</x:v>
      </x:c>
      <x:c r="C99" s="7" t="str">
        <x:v>Fund III</x:v>
      </x:c>
      <x:c r="D99" s="7" t="str">
        <x:v>Seed</x:v>
      </x:c>
      <x:c r="E99" s="7" t="str">
        <x:v>Active</x:v>
      </x:c>
      <x:c r="F99" s="9" t="n">
        <x:v>45982</x:v>
      </x:c>
      <x:c r="G99" s="9" t="n">
        <x:v>45982</x:v>
      </x:c>
      <x:c r="H99" s="13" t="n">
        <x:v>22.1</x:v>
      </x:c>
      <x:c r="I99" s="13" t="n">
        <x:v>2.1</x:v>
      </x:c>
      <x:c r="J99" s="11" t="n">
        <x:v>0.103</x:v>
      </x:c>
      <x:c r="K99" s="13" t="n">
        <x:v>2.3</x:v>
      </x:c>
      <x:c r="L99" s="13" t="n">
        <x:v>0</x:v>
      </x:c>
      <x:c r="M99" s="15" t="n">
        <x:f>IF(I99=0,0,(K99+L99)/I99)</x:f>
        <x:v>1.0952380952380951</x:v>
      </x:c>
      <x:c r="N99" s="13" t="n">
        <x:v>1.3</x:v>
      </x:c>
      <x:c r="O99" s="11" t="n">
        <x:v>1.67</x:v>
      </x:c>
      <x:c r="P99" s="11" t="n">
        <x:v>0.76</x:v>
      </x:c>
      <x:c r="Q99" s="13" t="n">
        <x:v>0.16</x:v>
      </x:c>
      <x:c r="R99" s="13" t="n">
        <x:v>5.1</x:v>
      </x:c>
      <x:c r="S99" s="13" t="n">
        <x:f>IF(OR(E99&lt;&gt;"Active",Q99=0),"-",R99/Q99)</x:f>
        <x:v>31.874999999999996</x:v>
      </x:c>
      <x:c r="T99" s="17" t="n">
        <x:v>21</x:v>
      </x:c>
    </x:row>
    <x:row r="100" ht="24" customHeight="1">
      <x:c r="A100" s="3" t="str">
        <x:v>Wildebrook</x:v>
      </x:c>
      <x:c r="B100" s="3" t="str">
        <x:v>Enterprise SaaS</x:v>
      </x:c>
      <x:c r="C100" s="3" t="str">
        <x:v>Fund II</x:v>
      </x:c>
      <x:c r="D100" s="3" t="str">
        <x:v>Series A</x:v>
      </x:c>
      <x:c r="E100" s="3" t="str">
        <x:v>Active</x:v>
      </x:c>
      <x:c r="F100" s="8" t="n">
        <x:v>44637</x:v>
      </x:c>
      <x:c r="G100" s="8" t="n">
        <x:v>45923</x:v>
      </x:c>
      <x:c r="H100" s="12" t="n">
        <x:v>54.6</x:v>
      </x:c>
      <x:c r="I100" s="12" t="n">
        <x:v>3.7</x:v>
      </x:c>
      <x:c r="J100" s="10" t="n">
        <x:v>0.135</x:v>
      </x:c>
      <x:c r="K100" s="12" t="n">
        <x:v>7.4</x:v>
      </x:c>
      <x:c r="L100" s="12" t="n">
        <x:v>0</x:v>
      </x:c>
      <x:c r="M100" s="14" t="n">
        <x:f>IF(I100=0,0,(K100+L100)/I100)</x:f>
        <x:v>2</x:v>
      </x:c>
      <x:c r="N100" s="12" t="n">
        <x:v>1.2</x:v>
      </x:c>
      <x:c r="O100" s="10" t="n">
        <x:v>1.99</x:v>
      </x:c>
      <x:c r="P100" s="10" t="n">
        <x:v>0.77</x:v>
      </x:c>
      <x:c r="Q100" s="12" t="n">
        <x:v>0.3</x:v>
      </x:c>
      <x:c r="R100" s="12" t="n">
        <x:v>6.8</x:v>
      </x:c>
      <x:c r="S100" s="12" t="n">
        <x:f>IF(OR(E100&lt;&gt;"Active",Q100=0),"-",R100/Q100)</x:f>
        <x:v>22.666666666666668</x:v>
      </x:c>
      <x:c r="T100" s="16" t="n">
        <x:v>54</x:v>
      </x:c>
    </x:row>
    <x:row r="101" ht="24" customHeight="1">
      <x:c r="A101" s="7" t="str">
        <x:v>Zerocrest</x:v>
      </x:c>
      <x:c r="B101" s="7" t="str">
        <x:v>AI/ML</x:v>
      </x:c>
      <x:c r="C101" s="7" t="str">
        <x:v>Fund III</x:v>
      </x:c>
      <x:c r="D101" s="7" t="str">
        <x:v>Seed</x:v>
      </x:c>
      <x:c r="E101" s="7" t="str">
        <x:v>Shut Down</x:v>
      </x:c>
      <x:c r="F101" s="9" t="n">
        <x:v>45506</x:v>
      </x:c>
      <x:c r="G101" s="9" t="n">
        <x:v>45506</x:v>
      </x:c>
      <x:c r="H101" s="13" t="n">
        <x:v>12.1</x:v>
      </x:c>
      <x:c r="I101" s="13" t="n">
        <x:v>0.7</x:v>
      </x:c>
      <x:c r="J101" s="11" t="n">
        <x:v>0.082</x:v>
      </x:c>
      <x:c r="K101" s="13" t="n">
        <x:v>0</x:v>
      </x:c>
      <x:c r="L101" s="13" t="n">
        <x:v>0</x:v>
      </x:c>
      <x:c r="M101" s="15" t="n">
        <x:f>IF(I101=0,0,(K101+L101)/I101)</x:f>
        <x:v>0</x:v>
      </x:c>
      <x:c r="N101" s="13"/>
      <x:c r="O101" s="11"/>
      <x:c r="P101" s="11"/>
      <x:c r="Q101" s="13"/>
      <x:c r="R101" s="13"/>
      <x:c r="S101" s="13" t="str">
        <x:f>IF(OR(E101&lt;&gt;"Active",Q101=0),"-",R101/Q101)</x:f>
        <x:v>-</x:v>
      </x:c>
      <x:c r="T101" s="17"/>
    </x:row>
  </x:sheetData>
  <x:pageMargins left="0.7" right="0.7" top="0.75" bottom="0.75" header="0.3" footer="0.3"/>
  <x:tableParts count="1">
    <x:tablePart xmlns:r="http://schemas.openxmlformats.org/officeDocument/2006/relationships" r:id="R41fddbe02d934d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48" hidden="0" customWidth="1"/>
  </x:cols>
  <x:sheetData>
    <x:row r="1" ht="44" customHeight="1">
      <x:c r="A1" s="6" t="str">
        <x:v>Company</x:v>
      </x:c>
      <x:c r="B1" s="6" t="str">
        <x:v>Opening mark</x:v>
      </x:c>
      <x:c r="C1" s="6" t="str">
        <x:v>New HC cash</x:v>
      </x:c>
      <x:c r="D1" s="6" t="str">
        <x:v>Q2 proceeds</x:v>
      </x:c>
      <x:c r="E1" s="6" t="str">
        <x:v>Raw closing value</x:v>
      </x:c>
      <x:c r="F1" s="6" t="str">
        <x:v>Rounding delta</x:v>
      </x:c>
      <x:c r="G1" s="6" t="str">
        <x:v>Closing mark</x:v>
      </x:c>
      <x:c r="H1" s="6" t="str">
        <x:v>Target mark</x:v>
      </x:c>
      <x:c r="I1" s="6" t="str">
        <x:v>Mark variance</x:v>
      </x:c>
      <x:c r="J1" s="6" t="str">
        <x:v>Opening invested</x:v>
      </x:c>
      <x:c r="K1" s="6" t="str">
        <x:v>Closing invested</x:v>
      </x:c>
      <x:c r="L1" s="6" t="str">
        <x:v>Target invested</x:v>
      </x:c>
      <x:c r="M1" s="6" t="str">
        <x:v>Invested variance</x:v>
      </x:c>
      <x:c r="N1" s="6" t="str">
        <x:v>Opening realized</x:v>
      </x:c>
      <x:c r="O1" s="6" t="str">
        <x:v>Closing realized</x:v>
      </x:c>
      <x:c r="P1" s="6" t="str">
        <x:v>Target realized</x:v>
      </x:c>
      <x:c r="Q1" s="6" t="str">
        <x:v>Realized variance</x:v>
      </x:c>
      <x:c r="R1" s="6" t="str">
        <x:v>Total Q2 gain/loss</x:v>
      </x:c>
      <x:c r="S1" s="6" t="str">
        <x:v>Expected treatment</x:v>
      </x:c>
    </x:row>
    <x:row r="2" ht="24" customHeight="1">
      <x:c r="A2" s="3" t="str">
        <x:v>Aravine</x:v>
      </x:c>
      <x:c r="B2" s="24" t="n">
        <x:f>'Portfolio'!K2</x:f>
        <x:v>6.9</x:v>
      </x:c>
      <x:c r="C2" s="24" t="n">
        <x:f>SUMIF('Q2 2026 Activity'!$B$2:$B$20,A2,'Q2 2026 Activity'!$F$2:$F$20)</x:f>
        <x:v>0</x:v>
      </x:c>
      <x:c r="D2" s="24" t="n">
        <x:f>SUMIF('Q2 2026 Activity'!$B$2:$B$20,A2,'Q2 2026 Activity'!$H$2:$H$20)</x:f>
        <x:v>0</x:v>
      </x:c>
      <x:c r="E2" s="25" t="n">
        <x:f>B2</x:f>
        <x:v>6.9</x:v>
      </x:c>
      <x:c r="F2" s="25" t="n">
        <x:f>G2-E2</x:f>
        <x:v>0</x:v>
      </x:c>
      <x:c r="G2" s="25" t="n">
        <x:f>E2</x:f>
        <x:v>6.9</x:v>
      </x:c>
      <x:c r="H2" s="24" t="n">
        <x:f>'June 30 Target'!K2</x:f>
        <x:v>6.9</x:v>
      </x:c>
      <x:c r="I2" s="25" t="n">
        <x:f>G2-H2</x:f>
        <x:v>0</x:v>
      </x:c>
      <x:c r="J2" s="24" t="n">
        <x:f>'Portfolio'!I2</x:f>
        <x:v>6</x:v>
      </x:c>
      <x:c r="K2" s="25" t="n">
        <x:f>J2+C2</x:f>
        <x:v>6</x:v>
      </x:c>
      <x:c r="L2" s="24" t="n">
        <x:f>'June 30 Target'!I2</x:f>
        <x:v>6</x:v>
      </x:c>
      <x:c r="M2" s="25" t="n">
        <x:f>K2-L2</x:f>
        <x:v>0</x:v>
      </x:c>
      <x:c r="N2" s="24" t="n">
        <x:f>'Portfolio'!L2</x:f>
        <x:v>0</x:v>
      </x:c>
      <x:c r="O2" s="25" t="n">
        <x:f>N2+D2</x:f>
        <x:v>0</x:v>
      </x:c>
      <x:c r="P2" s="24" t="n">
        <x:f>'June 30 Target'!L2</x:f>
        <x:v>0</x:v>
      </x:c>
      <x:c r="Q2" s="25" t="n">
        <x:f>O2-P2</x:f>
        <x:v>0</x:v>
      </x:c>
      <x:c r="R2" s="25" t="n">
        <x:f>G2+D2-B2-C2</x:f>
        <x:v>0</x:v>
      </x:c>
      <x:c r="S2" s="3" t="str">
        <x:v>Carry; apply policy screening</x:v>
      </x:c>
    </x:row>
    <x:row r="3" ht="24" customHeight="1">
      <x:c r="A3" s="7" t="str">
        <x:v>Beltrix</x:v>
      </x:c>
      <x:c r="B3" s="26" t="n">
        <x:f>'Portfolio'!K3</x:f>
        <x:v>8.1</x:v>
      </x:c>
      <x:c r="C3" s="26" t="n">
        <x:f>SUMIF('Q2 2026 Activity'!$B$2:$B$20,A3,'Q2 2026 Activity'!$F$2:$F$20)</x:f>
        <x:v>0</x:v>
      </x:c>
      <x:c r="D3" s="26" t="n">
        <x:f>SUMIF('Q2 2026 Activity'!$B$2:$B$20,A3,'Q2 2026 Activity'!$H$2:$H$20)</x:f>
        <x:v>0</x:v>
      </x:c>
      <x:c r="E3" s="27" t="n">
        <x:f>B3</x:f>
        <x:v>8.1</x:v>
      </x:c>
      <x:c r="F3" s="27" t="n">
        <x:f>G3-E3</x:f>
        <x:v>0</x:v>
      </x:c>
      <x:c r="G3" s="27" t="n">
        <x:f>E3</x:f>
        <x:v>8.1</x:v>
      </x:c>
      <x:c r="H3" s="26" t="n">
        <x:f>'June 30 Target'!K3</x:f>
        <x:v>8.1</x:v>
      </x:c>
      <x:c r="I3" s="27" t="n">
        <x:f>G3-H3</x:f>
        <x:v>0</x:v>
      </x:c>
      <x:c r="J3" s="26" t="n">
        <x:f>'Portfolio'!I3</x:f>
        <x:v>6</x:v>
      </x:c>
      <x:c r="K3" s="27" t="n">
        <x:f>J3+C3</x:f>
        <x:v>6</x:v>
      </x:c>
      <x:c r="L3" s="26" t="n">
        <x:f>'June 30 Target'!I3</x:f>
        <x:v>6</x:v>
      </x:c>
      <x:c r="M3" s="27" t="n">
        <x:f>K3-L3</x:f>
        <x:v>0</x:v>
      </x:c>
      <x:c r="N3" s="26" t="n">
        <x:f>'Portfolio'!L3</x:f>
        <x:v>0</x:v>
      </x:c>
      <x:c r="O3" s="27" t="n">
        <x:f>N3+D3</x:f>
        <x:v>0</x:v>
      </x:c>
      <x:c r="P3" s="26" t="n">
        <x:f>'June 30 Target'!L3</x:f>
        <x:v>0</x:v>
      </x:c>
      <x:c r="Q3" s="27" t="n">
        <x:f>O3-P3</x:f>
        <x:v>0</x:v>
      </x:c>
      <x:c r="R3" s="27" t="n">
        <x:f>G3+D3-B3-C3</x:f>
        <x:v>0</x:v>
      </x:c>
      <x:c r="S3" s="7" t="str">
        <x:v>Carry; apply policy screening</x:v>
      </x:c>
    </x:row>
    <x:row r="4" ht="24" customHeight="1">
      <x:c r="A4" s="3" t="str">
        <x:v>Cindral</x:v>
      </x:c>
      <x:c r="B4" s="24" t="n">
        <x:f>'Portfolio'!K4</x:f>
        <x:v>18.2</x:v>
      </x:c>
      <x:c r="C4" s="24" t="n">
        <x:f>SUMIF('Q2 2026 Activity'!$B$2:$B$20,A4,'Q2 2026 Activity'!$F$2:$F$20)</x:f>
        <x:v>0</x:v>
      </x:c>
      <x:c r="D4" s="24" t="n">
        <x:f>SUMIF('Q2 2026 Activity'!$B$2:$B$20,A4,'Q2 2026 Activity'!$H$2:$H$20)</x:f>
        <x:v>0</x:v>
      </x:c>
      <x:c r="E4" s="25" t="n">
        <x:f>B4</x:f>
        <x:v>18.2</x:v>
      </x:c>
      <x:c r="F4" s="25" t="n">
        <x:f>G4-E4</x:f>
        <x:v>0</x:v>
      </x:c>
      <x:c r="G4" s="25" t="n">
        <x:f>E4</x:f>
        <x:v>18.2</x:v>
      </x:c>
      <x:c r="H4" s="24" t="n">
        <x:f>'June 30 Target'!K4</x:f>
        <x:v>18.2</x:v>
      </x:c>
      <x:c r="I4" s="25" t="n">
        <x:f>G4-H4</x:f>
        <x:v>0</x:v>
      </x:c>
      <x:c r="J4" s="24" t="n">
        <x:f>'Portfolio'!I4</x:f>
        <x:v>10</x:v>
      </x:c>
      <x:c r="K4" s="25" t="n">
        <x:f>J4+C4</x:f>
        <x:v>10</x:v>
      </x:c>
      <x:c r="L4" s="24" t="n">
        <x:f>'June 30 Target'!I4</x:f>
        <x:v>10</x:v>
      </x:c>
      <x:c r="M4" s="25" t="n">
        <x:f>K4-L4</x:f>
        <x:v>0</x:v>
      </x:c>
      <x:c r="N4" s="24" t="n">
        <x:f>'Portfolio'!L4</x:f>
        <x:v>0</x:v>
      </x:c>
      <x:c r="O4" s="25" t="n">
        <x:f>N4+D4</x:f>
        <x:v>0</x:v>
      </x:c>
      <x:c r="P4" s="24" t="n">
        <x:f>'June 30 Target'!L4</x:f>
        <x:v>0</x:v>
      </x:c>
      <x:c r="Q4" s="25" t="n">
        <x:f>O4-P4</x:f>
        <x:v>0</x:v>
      </x:c>
      <x:c r="R4" s="25" t="n">
        <x:f>G4+D4-B4-C4</x:f>
        <x:v>0</x:v>
      </x:c>
      <x:c r="S4" s="3" t="str">
        <x:v>Carry; apply policy screening</x:v>
      </x:c>
    </x:row>
    <x:row r="5" ht="24" customHeight="1">
      <x:c r="A5" s="7" t="str">
        <x:v>Dovelane Systems</x:v>
      </x:c>
      <x:c r="B5" s="26" t="n">
        <x:f>'Portfolio'!K5</x:f>
        <x:v>4.1</x:v>
      </x:c>
      <x:c r="C5" s="26" t="n">
        <x:f>SUMIF('Q2 2026 Activity'!$B$2:$B$20,A5,'Q2 2026 Activity'!$F$2:$F$20)</x:f>
        <x:v>0</x:v>
      </x:c>
      <x:c r="D5" s="26" t="n">
        <x:f>SUMIF('Q2 2026 Activity'!$B$2:$B$20,A5,'Q2 2026 Activity'!$H$2:$H$20)</x:f>
        <x:v>0</x:v>
      </x:c>
      <x:c r="E5" s="27" t="n">
        <x:f>B5</x:f>
        <x:v>4.1</x:v>
      </x:c>
      <x:c r="F5" s="27" t="n">
        <x:f>G5-E5</x:f>
        <x:v>0</x:v>
      </x:c>
      <x:c r="G5" s="27" t="n">
        <x:f>E5</x:f>
        <x:v>4.1</x:v>
      </x:c>
      <x:c r="H5" s="26" t="n">
        <x:f>'June 30 Target'!K5</x:f>
        <x:v>4.1</x:v>
      </x:c>
      <x:c r="I5" s="27" t="n">
        <x:f>G5-H5</x:f>
        <x:v>0</x:v>
      </x:c>
      <x:c r="J5" s="26" t="n">
        <x:f>'Portfolio'!I5</x:f>
        <x:v>4</x:v>
      </x:c>
      <x:c r="K5" s="27" t="n">
        <x:f>J5+C5</x:f>
        <x:v>4</x:v>
      </x:c>
      <x:c r="L5" s="26" t="n">
        <x:f>'June 30 Target'!I5</x:f>
        <x:v>4</x:v>
      </x:c>
      <x:c r="M5" s="27" t="n">
        <x:f>K5-L5</x:f>
        <x:v>0</x:v>
      </x:c>
      <x:c r="N5" s="26" t="n">
        <x:f>'Portfolio'!L5</x:f>
        <x:v>0</x:v>
      </x:c>
      <x:c r="O5" s="27" t="n">
        <x:f>N5+D5</x:f>
        <x:v>0</x:v>
      </x:c>
      <x:c r="P5" s="26" t="n">
        <x:f>'June 30 Target'!L5</x:f>
        <x:v>0</x:v>
      </x:c>
      <x:c r="Q5" s="27" t="n">
        <x:f>O5-P5</x:f>
        <x:v>0</x:v>
      </x:c>
      <x:c r="R5" s="27" t="n">
        <x:f>G5+D5-B5-C5</x:f>
        <x:v>0</x:v>
      </x:c>
      <x:c r="S5" s="7" t="str">
        <x:v>Carry; apply policy screening</x:v>
      </x:c>
    </x:row>
    <x:row r="6" ht="24" customHeight="1">
      <x:c r="A6" s="3" t="str">
        <x:v>Emberfold</x:v>
      </x:c>
      <x:c r="B6" s="24" t="n">
        <x:f>'Portfolio'!K6</x:f>
        <x:v>1.8</x:v>
      </x:c>
      <x:c r="C6" s="24" t="n">
        <x:f>SUMIF('Q2 2026 Activity'!$B$2:$B$20,A6,'Q2 2026 Activity'!$F$2:$F$20)</x:f>
        <x:v>0</x:v>
      </x:c>
      <x:c r="D6" s="24" t="n">
        <x:f>SUMIF('Q2 2026 Activity'!$B$2:$B$20,A6,'Q2 2026 Activity'!$H$2:$H$20)</x:f>
        <x:v>0</x:v>
      </x:c>
      <x:c r="E6" s="25" t="n">
        <x:f>B6</x:f>
        <x:v>1.8</x:v>
      </x:c>
      <x:c r="F6" s="25" t="n">
        <x:f>G6-E6</x:f>
        <x:v>0</x:v>
      </x:c>
      <x:c r="G6" s="25" t="n">
        <x:f>E6</x:f>
        <x:v>1.8</x:v>
      </x:c>
      <x:c r="H6" s="24" t="n">
        <x:f>'June 30 Target'!K6</x:f>
        <x:v>1.8</x:v>
      </x:c>
      <x:c r="I6" s="25" t="n">
        <x:f>G6-H6</x:f>
        <x:v>0</x:v>
      </x:c>
      <x:c r="J6" s="24" t="n">
        <x:f>'Portfolio'!I6</x:f>
        <x:v>2.5</x:v>
      </x:c>
      <x:c r="K6" s="25" t="n">
        <x:f>J6+C6</x:f>
        <x:v>2.5</x:v>
      </x:c>
      <x:c r="L6" s="24" t="n">
        <x:f>'June 30 Target'!I6</x:f>
        <x:v>2.5</x:v>
      </x:c>
      <x:c r="M6" s="25" t="n">
        <x:f>K6-L6</x:f>
        <x:v>0</x:v>
      </x:c>
      <x:c r="N6" s="24" t="n">
        <x:f>'Portfolio'!L6</x:f>
        <x:v>0</x:v>
      </x:c>
      <x:c r="O6" s="25" t="n">
        <x:f>N6+D6</x:f>
        <x:v>0</x:v>
      </x:c>
      <x:c r="P6" s="24" t="n">
        <x:f>'June 30 Target'!L6</x:f>
        <x:v>0</x:v>
      </x:c>
      <x:c r="Q6" s="25" t="n">
        <x:f>O6-P6</x:f>
        <x:v>0</x:v>
      </x:c>
      <x:c r="R6" s="25" t="n">
        <x:f>G6+D6-B6-C6</x:f>
        <x:v>0</x:v>
      </x:c>
      <x:c r="S6" s="3" t="str">
        <x:v>Carry; apply policy screening</x:v>
      </x:c>
    </x:row>
    <x:row r="7" ht="24" customHeight="1">
      <x:c r="A7" s="7" t="str">
        <x:v>Fernwave</x:v>
      </x:c>
      <x:c r="B7" s="26" t="n">
        <x:f>'Portfolio'!K7</x:f>
        <x:v>38.5</x:v>
      </x:c>
      <x:c r="C7" s="26" t="n">
        <x:f>SUMIF('Q2 2026 Activity'!$B$2:$B$20,A7,'Q2 2026 Activity'!$F$2:$F$20)</x:f>
        <x:v>0</x:v>
      </x:c>
      <x:c r="D7" s="26" t="n">
        <x:f>SUMIF('Q2 2026 Activity'!$B$2:$B$20,A7,'Q2 2026 Activity'!$H$2:$H$20)</x:f>
        <x:v>0</x:v>
      </x:c>
      <x:c r="E7" s="27" t="n">
        <x:f>B7</x:f>
        <x:v>38.5</x:v>
      </x:c>
      <x:c r="F7" s="27" t="n">
        <x:f>G7-E7</x:f>
        <x:v>0</x:v>
      </x:c>
      <x:c r="G7" s="27" t="n">
        <x:f>E7</x:f>
        <x:v>38.5</x:v>
      </x:c>
      <x:c r="H7" s="26" t="n">
        <x:f>'June 30 Target'!K7</x:f>
        <x:v>38.5</x:v>
      </x:c>
      <x:c r="I7" s="27" t="n">
        <x:f>G7-H7</x:f>
        <x:v>0</x:v>
      </x:c>
      <x:c r="J7" s="26" t="n">
        <x:f>'Portfolio'!I7</x:f>
        <x:v>10.3</x:v>
      </x:c>
      <x:c r="K7" s="27" t="n">
        <x:f>J7+C7</x:f>
        <x:v>10.3</x:v>
      </x:c>
      <x:c r="L7" s="26" t="n">
        <x:f>'June 30 Target'!I7</x:f>
        <x:v>10.3</x:v>
      </x:c>
      <x:c r="M7" s="27" t="n">
        <x:f>K7-L7</x:f>
        <x:v>0</x:v>
      </x:c>
      <x:c r="N7" s="26" t="n">
        <x:f>'Portfolio'!L7</x:f>
        <x:v>0</x:v>
      </x:c>
      <x:c r="O7" s="27" t="n">
        <x:f>N7+D7</x:f>
        <x:v>0</x:v>
      </x:c>
      <x:c r="P7" s="26" t="n">
        <x:f>'June 30 Target'!L7</x:f>
        <x:v>0</x:v>
      </x:c>
      <x:c r="Q7" s="27" t="n">
        <x:f>O7-P7</x:f>
        <x:v>0</x:v>
      </x:c>
      <x:c r="R7" s="27" t="n">
        <x:f>G7+D7-B7-C7</x:f>
        <x:v>0</x:v>
      </x:c>
      <x:c r="S7" s="7" t="str">
        <x:v>Carry; apply policy screening</x:v>
      </x:c>
    </x:row>
    <x:row r="8" ht="24" customHeight="1">
      <x:c r="A8" s="3" t="str">
        <x:v>Gryphonel</x:v>
      </x:c>
      <x:c r="B8" s="24" t="n">
        <x:f>'Portfolio'!K8</x:f>
        <x:v>3.5</x:v>
      </x:c>
      <x:c r="C8" s="24" t="n">
        <x:f>SUMIF('Q2 2026 Activity'!$B$2:$B$20,A8,'Q2 2026 Activity'!$F$2:$F$20)</x:f>
        <x:v>0</x:v>
      </x:c>
      <x:c r="D8" s="24" t="n">
        <x:f>SUMIF('Q2 2026 Activity'!$B$2:$B$20,A8,'Q2 2026 Activity'!$H$2:$H$20)</x:f>
        <x:v>0</x:v>
      </x:c>
      <x:c r="E8" s="25" t="n">
        <x:f>B8</x:f>
        <x:v>3.5</x:v>
      </x:c>
      <x:c r="F8" s="25" t="n">
        <x:f>G8-E8</x:f>
        <x:v>0</x:v>
      </x:c>
      <x:c r="G8" s="25" t="n">
        <x:f>E8</x:f>
        <x:v>3.5</x:v>
      </x:c>
      <x:c r="H8" s="24" t="n">
        <x:f>'June 30 Target'!K8</x:f>
        <x:v>3.5</x:v>
      </x:c>
      <x:c r="I8" s="25" t="n">
        <x:f>G8-H8</x:f>
        <x:v>0</x:v>
      </x:c>
      <x:c r="J8" s="24" t="n">
        <x:f>'Portfolio'!I8</x:f>
        <x:v>4</x:v>
      </x:c>
      <x:c r="K8" s="25" t="n">
        <x:f>J8+C8</x:f>
        <x:v>4</x:v>
      </x:c>
      <x:c r="L8" s="24" t="n">
        <x:f>'June 30 Target'!I8</x:f>
        <x:v>4</x:v>
      </x:c>
      <x:c r="M8" s="25" t="n">
        <x:f>K8-L8</x:f>
        <x:v>0</x:v>
      </x:c>
      <x:c r="N8" s="24" t="n">
        <x:f>'Portfolio'!L8</x:f>
        <x:v>0</x:v>
      </x:c>
      <x:c r="O8" s="25" t="n">
        <x:f>N8+D8</x:f>
        <x:v>0</x:v>
      </x:c>
      <x:c r="P8" s="24" t="n">
        <x:f>'June 30 Target'!L8</x:f>
        <x:v>0</x:v>
      </x:c>
      <x:c r="Q8" s="25" t="n">
        <x:f>O8-P8</x:f>
        <x:v>0</x:v>
      </x:c>
      <x:c r="R8" s="25" t="n">
        <x:f>G8+D8-B8-C8</x:f>
        <x:v>0</x:v>
      </x:c>
      <x:c r="S8" s="3" t="str">
        <x:v>Quarter-end non-binding acquisition offer</x:v>
      </x:c>
    </x:row>
    <x:row r="9" ht="24" customHeight="1">
      <x:c r="A9" s="7" t="str">
        <x:v>Halcyra</x:v>
      </x:c>
      <x:c r="B9" s="26" t="n">
        <x:f>'Portfolio'!K9</x:f>
        <x:v>2.7</x:v>
      </x:c>
      <x:c r="C9" s="26" t="n">
        <x:f>SUMIF('Q2 2026 Activity'!$B$2:$B$20,A9,'Q2 2026 Activity'!$F$2:$F$20)</x:f>
        <x:v>0</x:v>
      </x:c>
      <x:c r="D9" s="26" t="n">
        <x:f>SUMIF('Q2 2026 Activity'!$B$2:$B$20,A9,'Q2 2026 Activity'!$H$2:$H$20)</x:f>
        <x:v>0</x:v>
      </x:c>
      <x:c r="E9" s="27" t="n">
        <x:f>B9</x:f>
        <x:v>2.7</x:v>
      </x:c>
      <x:c r="F9" s="27" t="n">
        <x:f>G9-E9</x:f>
        <x:v>0</x:v>
      </x:c>
      <x:c r="G9" s="27" t="n">
        <x:f>E9</x:f>
        <x:v>2.7</x:v>
      </x:c>
      <x:c r="H9" s="26" t="n">
        <x:f>'June 30 Target'!K9</x:f>
        <x:v>2.7</x:v>
      </x:c>
      <x:c r="I9" s="27" t="n">
        <x:f>G9-H9</x:f>
        <x:v>0</x:v>
      </x:c>
      <x:c r="J9" s="26" t="n">
        <x:f>'Portfolio'!I9</x:f>
        <x:v>2</x:v>
      </x:c>
      <x:c r="K9" s="27" t="n">
        <x:f>J9+C9</x:f>
        <x:v>2</x:v>
      </x:c>
      <x:c r="L9" s="26" t="n">
        <x:f>'June 30 Target'!I9</x:f>
        <x:v>2</x:v>
      </x:c>
      <x:c r="M9" s="27" t="n">
        <x:f>K9-L9</x:f>
        <x:v>0</x:v>
      </x:c>
      <x:c r="N9" s="26" t="n">
        <x:f>'Portfolio'!L9</x:f>
        <x:v>0</x:v>
      </x:c>
      <x:c r="O9" s="27" t="n">
        <x:f>N9+D9</x:f>
        <x:v>0</x:v>
      </x:c>
      <x:c r="P9" s="26" t="n">
        <x:f>'June 30 Target'!L9</x:f>
        <x:v>0</x:v>
      </x:c>
      <x:c r="Q9" s="27" t="n">
        <x:f>O9-P9</x:f>
        <x:v>0</x:v>
      </x:c>
      <x:c r="R9" s="27" t="n">
        <x:f>G9+D9-B9-C9</x:f>
        <x:v>0</x:v>
      </x:c>
      <x:c r="S9" s="7" t="str">
        <x:v>Signed proposal withdrawn in same quarter</x:v>
      </x:c>
    </x:row>
    <x:row r="10" ht="24" customHeight="1">
      <x:c r="A10" s="3" t="str">
        <x:v>Ironquill Security</x:v>
      </x:c>
      <x:c r="B10" s="24" t="n">
        <x:f>'Portfolio'!K10</x:f>
        <x:v>15.8</x:v>
      </x:c>
      <x:c r="C10" s="24" t="n">
        <x:f>SUMIF('Q2 2026 Activity'!$B$2:$B$20,A10,'Q2 2026 Activity'!$F$2:$F$20)</x:f>
        <x:v>0</x:v>
      </x:c>
      <x:c r="D10" s="24" t="n">
        <x:f>SUMIF('Q2 2026 Activity'!$B$2:$B$20,A10,'Q2 2026 Activity'!$H$2:$H$20)</x:f>
        <x:v>0</x:v>
      </x:c>
      <x:c r="E10" s="25" t="n">
        <x:f>B10</x:f>
        <x:v>15.8</x:v>
      </x:c>
      <x:c r="F10" s="25" t="n">
        <x:f>G10-E10</x:f>
        <x:v>0</x:v>
      </x:c>
      <x:c r="G10" s="25" t="n">
        <x:f>E10</x:f>
        <x:v>15.8</x:v>
      </x:c>
      <x:c r="H10" s="24" t="n">
        <x:f>'June 30 Target'!K10</x:f>
        <x:v>15.8</x:v>
      </x:c>
      <x:c r="I10" s="25" t="n">
        <x:f>G10-H10</x:f>
        <x:v>0</x:v>
      </x:c>
      <x:c r="J10" s="24" t="n">
        <x:f>'Portfolio'!I10</x:f>
        <x:v>6</x:v>
      </x:c>
      <x:c r="K10" s="25" t="n">
        <x:f>J10+C10</x:f>
        <x:v>6</x:v>
      </x:c>
      <x:c r="L10" s="24" t="n">
        <x:f>'June 30 Target'!I10</x:f>
        <x:v>6</x:v>
      </x:c>
      <x:c r="M10" s="25" t="n">
        <x:f>K10-L10</x:f>
        <x:v>0</x:v>
      </x:c>
      <x:c r="N10" s="24" t="n">
        <x:f>'Portfolio'!L10</x:f>
        <x:v>0</x:v>
      </x:c>
      <x:c r="O10" s="25" t="n">
        <x:f>N10+D10</x:f>
        <x:v>0</x:v>
      </x:c>
      <x:c r="P10" s="24" t="n">
        <x:f>'June 30 Target'!L10</x:f>
        <x:v>0</x:v>
      </x:c>
      <x:c r="Q10" s="25" t="n">
        <x:f>O10-P10</x:f>
        <x:v>0</x:v>
      </x:c>
      <x:c r="R10" s="25" t="n">
        <x:f>G10+D10-B10-C10</x:f>
        <x:v>0</x:v>
      </x:c>
      <x:c r="S10" s="3" t="str">
        <x:v>Carry; apply policy screening</x:v>
      </x:c>
    </x:row>
    <x:row r="11" ht="24" customHeight="1">
      <x:c r="A11" s="7" t="str">
        <x:v>Jettamar</x:v>
      </x:c>
      <x:c r="B11" s="26" t="n">
        <x:f>'Portfolio'!K11</x:f>
        <x:v>2.9</x:v>
      </x:c>
      <x:c r="C11" s="26" t="n">
        <x:f>SUMIF('Q2 2026 Activity'!$B$2:$B$20,A11,'Q2 2026 Activity'!$F$2:$F$20)</x:f>
        <x:v>0</x:v>
      </x:c>
      <x:c r="D11" s="26" t="n">
        <x:f>SUMIF('Q2 2026 Activity'!$B$2:$B$20,A11,'Q2 2026 Activity'!$H$2:$H$20)</x:f>
        <x:v>0</x:v>
      </x:c>
      <x:c r="E11" s="27" t="n">
        <x:f>B11</x:f>
        <x:v>2.9</x:v>
      </x:c>
      <x:c r="F11" s="27" t="n">
        <x:f>G11-E11</x:f>
        <x:v>0</x:v>
      </x:c>
      <x:c r="G11" s="27" t="n">
        <x:f>E11</x:f>
        <x:v>2.9</x:v>
      </x:c>
      <x:c r="H11" s="26" t="n">
        <x:f>'June 30 Target'!K11</x:f>
        <x:v>2.9</x:v>
      </x:c>
      <x:c r="I11" s="27" t="n">
        <x:f>G11-H11</x:f>
        <x:v>0</x:v>
      </x:c>
      <x:c r="J11" s="26" t="n">
        <x:f>'Portfolio'!I11</x:f>
        <x:v>2.5</x:v>
      </x:c>
      <x:c r="K11" s="27" t="n">
        <x:f>J11+C11</x:f>
        <x:v>2.5</x:v>
      </x:c>
      <x:c r="L11" s="26" t="n">
        <x:f>'June 30 Target'!I11</x:f>
        <x:v>2.5</x:v>
      </x:c>
      <x:c r="M11" s="27" t="n">
        <x:f>K11-L11</x:f>
        <x:v>0</x:v>
      </x:c>
      <x:c r="N11" s="26" t="n">
        <x:f>'Portfolio'!L11</x:f>
        <x:v>0</x:v>
      </x:c>
      <x:c r="O11" s="27" t="n">
        <x:f>N11+D11</x:f>
        <x:v>0</x:v>
      </x:c>
      <x:c r="P11" s="26" t="n">
        <x:f>'June 30 Target'!L11</x:f>
        <x:v>0</x:v>
      </x:c>
      <x:c r="Q11" s="27" t="n">
        <x:f>O11-P11</x:f>
        <x:v>0</x:v>
      </x:c>
      <x:c r="R11" s="27" t="n">
        <x:f>G11+D11-B11-C11</x:f>
        <x:v>0</x:v>
      </x:c>
      <x:c r="S11" s="7" t="str">
        <x:v>Carry; apply policy screening</x:v>
      </x:c>
    </x:row>
    <x:row r="12" ht="24" customHeight="1">
      <x:c r="A12" s="3" t="str">
        <x:v>Kolvani Health</x:v>
      </x:c>
      <x:c r="B12" s="24" t="n">
        <x:f>'Portfolio'!K12</x:f>
        <x:v>0</x:v>
      </x:c>
      <x:c r="C12" s="24" t="n">
        <x:f>SUMIF('Q2 2026 Activity'!$B$2:$B$20,A12,'Q2 2026 Activity'!$F$2:$F$20)</x:f>
        <x:v>0</x:v>
      </x:c>
      <x:c r="D12" s="24" t="n">
        <x:f>SUMIF('Q2 2026 Activity'!$B$2:$B$20,A12,'Q2 2026 Activity'!$H$2:$H$20)</x:f>
        <x:v>0.9</x:v>
      </x:c>
      <x:c r="E12" s="25" t="n">
        <x:f>0</x:f>
        <x:v>0</x:v>
      </x:c>
      <x:c r="F12" s="25" t="n">
        <x:f>G12-E12</x:f>
        <x:v>0</x:v>
      </x:c>
      <x:c r="G12" s="25" t="n">
        <x:f>E12</x:f>
        <x:v>0</x:v>
      </x:c>
      <x:c r="H12" s="24" t="n">
        <x:f>'June 30 Target'!K12</x:f>
        <x:v>0</x:v>
      </x:c>
      <x:c r="I12" s="25" t="n">
        <x:f>G12-H12</x:f>
        <x:v>0</x:v>
      </x:c>
      <x:c r="J12" s="24" t="n">
        <x:f>'Portfolio'!I12</x:f>
        <x:v>5.8</x:v>
      </x:c>
      <x:c r="K12" s="25" t="n">
        <x:f>J12+C12</x:f>
        <x:v>5.8</x:v>
      </x:c>
      <x:c r="L12" s="24" t="n">
        <x:f>'June 30 Target'!I12</x:f>
        <x:v>5.8</x:v>
      </x:c>
      <x:c r="M12" s="25" t="n">
        <x:f>K12-L12</x:f>
        <x:v>0</x:v>
      </x:c>
      <x:c r="N12" s="24" t="n">
        <x:f>'Portfolio'!L12</x:f>
        <x:v>15</x:v>
      </x:c>
      <x:c r="O12" s="25" t="n">
        <x:f>N12+D12</x:f>
        <x:v>15.9</x:v>
      </x:c>
      <x:c r="P12" s="24" t="n">
        <x:f>'June 30 Target'!L12</x:f>
        <x:v>15.9</x:v>
      </x:c>
      <x:c r="Q12" s="25" t="n">
        <x:f>O12-P12</x:f>
        <x:v>0</x:v>
      </x:c>
      <x:c r="R12" s="25" t="n">
        <x:f>G12+D12-B12-C12</x:f>
        <x:v>0.9</x:v>
      </x:c>
      <x:c r="S12" s="3" t="str">
        <x:v>Cash recovery on an already exited company</x:v>
      </x:c>
    </x:row>
    <x:row r="13" ht="24" customHeight="1">
      <x:c r="A13" s="7" t="str">
        <x:v>Lumetra</x:v>
      </x:c>
      <x:c r="B13" s="26" t="n">
        <x:f>'Portfolio'!K13</x:f>
        <x:v>0.4</x:v>
      </x:c>
      <x:c r="C13" s="26" t="n">
        <x:f>SUMIF('Q2 2026 Activity'!$B$2:$B$20,A13,'Q2 2026 Activity'!$F$2:$F$20)</x:f>
        <x:v>0</x:v>
      </x:c>
      <x:c r="D13" s="26" t="n">
        <x:f>SUMIF('Q2 2026 Activity'!$B$2:$B$20,A13,'Q2 2026 Activity'!$H$2:$H$20)</x:f>
        <x:v>0</x:v>
      </x:c>
      <x:c r="E13" s="27" t="n">
        <x:f>B13</x:f>
        <x:v>0.4</x:v>
      </x:c>
      <x:c r="F13" s="27" t="n">
        <x:f>G13-E13</x:f>
        <x:v>0</x:v>
      </x:c>
      <x:c r="G13" s="27" t="n">
        <x:f>E13</x:f>
        <x:v>0.4</x:v>
      </x:c>
      <x:c r="H13" s="26" t="n">
        <x:f>'June 30 Target'!K13</x:f>
        <x:v>0.4</x:v>
      </x:c>
      <x:c r="I13" s="27" t="n">
        <x:f>G13-H13</x:f>
        <x:v>0</x:v>
      </x:c>
      <x:c r="J13" s="26" t="n">
        <x:f>'Portfolio'!I13</x:f>
        <x:v>0.5</x:v>
      </x:c>
      <x:c r="K13" s="27" t="n">
        <x:f>J13+C13</x:f>
        <x:v>0.5</x:v>
      </x:c>
      <x:c r="L13" s="26" t="n">
        <x:f>'June 30 Target'!I13</x:f>
        <x:v>0.5</x:v>
      </x:c>
      <x:c r="M13" s="27" t="n">
        <x:f>K13-L13</x:f>
        <x:v>0</x:v>
      </x:c>
      <x:c r="N13" s="26" t="n">
        <x:f>'Portfolio'!L13</x:f>
        <x:v>0</x:v>
      </x:c>
      <x:c r="O13" s="27" t="n">
        <x:f>N13+D13</x:f>
        <x:v>0</x:v>
      </x:c>
      <x:c r="P13" s="26" t="n">
        <x:f>'June 30 Target'!L13</x:f>
        <x:v>0</x:v>
      </x:c>
      <x:c r="Q13" s="27" t="n">
        <x:f>O13-P13</x:f>
        <x:v>0</x:v>
      </x:c>
      <x:c r="R13" s="27" t="n">
        <x:f>G13+D13-B13-C13</x:f>
        <x:v>0</x:v>
      </x:c>
      <x:c r="S13" s="7" t="str">
        <x:v>Carry; apply policy screening</x:v>
      </x:c>
    </x:row>
    <x:row r="14" ht="24" customHeight="1">
      <x:c r="A14" s="3" t="str">
        <x:v>Marrowick Bio</x:v>
      </x:c>
      <x:c r="B14" s="24" t="n">
        <x:f>'Portfolio'!K14</x:f>
        <x:v>12.9</x:v>
      </x:c>
      <x:c r="C14" s="24" t="n">
        <x:f>SUMIF('Q2 2026 Activity'!$B$2:$B$20,A14,'Q2 2026 Activity'!$F$2:$F$20)</x:f>
        <x:v>0</x:v>
      </x:c>
      <x:c r="D14" s="24" t="n">
        <x:f>SUMIF('Q2 2026 Activity'!$B$2:$B$20,A14,'Q2 2026 Activity'!$H$2:$H$20)</x:f>
        <x:v>0</x:v>
      </x:c>
      <x:c r="E14" s="25" t="n">
        <x:f>B14</x:f>
        <x:v>12.9</x:v>
      </x:c>
      <x:c r="F14" s="25" t="n">
        <x:f>G14-E14</x:f>
        <x:v>0</x:v>
      </x:c>
      <x:c r="G14" s="25" t="n">
        <x:f>E14</x:f>
        <x:v>12.9</x:v>
      </x:c>
      <x:c r="H14" s="24" t="n">
        <x:f>'June 30 Target'!K14</x:f>
        <x:v>12.9</x:v>
      </x:c>
      <x:c r="I14" s="25" t="n">
        <x:f>G14-H14</x:f>
        <x:v>0</x:v>
      </x:c>
      <x:c r="J14" s="24" t="n">
        <x:f>'Portfolio'!I14</x:f>
        <x:v>10.4</x:v>
      </x:c>
      <x:c r="K14" s="25" t="n">
        <x:f>J14+C14</x:f>
        <x:v>10.4</x:v>
      </x:c>
      <x:c r="L14" s="24" t="n">
        <x:f>'June 30 Target'!I14</x:f>
        <x:v>10.4</x:v>
      </x:c>
      <x:c r="M14" s="25" t="n">
        <x:f>K14-L14</x:f>
        <x:v>0</x:v>
      </x:c>
      <x:c r="N14" s="24" t="n">
        <x:f>'Portfolio'!L14</x:f>
        <x:v>0</x:v>
      </x:c>
      <x:c r="O14" s="25" t="n">
        <x:f>N14+D14</x:f>
        <x:v>0</x:v>
      </x:c>
      <x:c r="P14" s="24" t="n">
        <x:f>'June 30 Target'!L14</x:f>
        <x:v>0</x:v>
      </x:c>
      <x:c r="Q14" s="25" t="n">
        <x:f>O14-P14</x:f>
        <x:v>0</x:v>
      </x:c>
      <x:c r="R14" s="25" t="n">
        <x:f>G14+D14-B14-C14</x:f>
        <x:v>0</x:v>
      </x:c>
      <x:c r="S14" s="3" t="str">
        <x:v>Carry; apply policy screening</x:v>
      </x:c>
    </x:row>
    <x:row r="15" ht="24" customHeight="1">
      <x:c r="A15" s="7" t="str">
        <x:v>Nimbrel</x:v>
      </x:c>
      <x:c r="B15" s="26" t="n">
        <x:f>'Portfolio'!K15</x:f>
        <x:v>1.2</x:v>
      </x:c>
      <x:c r="C15" s="26" t="n">
        <x:f>SUMIF('Q2 2026 Activity'!$B$2:$B$20,A15,'Q2 2026 Activity'!$F$2:$F$20)</x:f>
        <x:v>0</x:v>
      </x:c>
      <x:c r="D15" s="26" t="n">
        <x:f>SUMIF('Q2 2026 Activity'!$B$2:$B$20,A15,'Q2 2026 Activity'!$H$2:$H$20)</x:f>
        <x:v>0</x:v>
      </x:c>
      <x:c r="E15" s="27" t="n">
        <x:f>B15</x:f>
        <x:v>1.2</x:v>
      </x:c>
      <x:c r="F15" s="27" t="n">
        <x:f>G15-E15</x:f>
        <x:v>0</x:v>
      </x:c>
      <x:c r="G15" s="27" t="n">
        <x:f>E15</x:f>
        <x:v>1.2</x:v>
      </x:c>
      <x:c r="H15" s="26" t="n">
        <x:f>'June 30 Target'!K15</x:f>
        <x:v>1.2</x:v>
      </x:c>
      <x:c r="I15" s="27" t="n">
        <x:f>G15-H15</x:f>
        <x:v>0</x:v>
      </x:c>
      <x:c r="J15" s="26" t="n">
        <x:f>'Portfolio'!I15</x:f>
        <x:v>0.8</x:v>
      </x:c>
      <x:c r="K15" s="27" t="n">
        <x:f>J15+C15</x:f>
        <x:v>0.8</x:v>
      </x:c>
      <x:c r="L15" s="26" t="n">
        <x:f>'June 30 Target'!I15</x:f>
        <x:v>0.8</x:v>
      </x:c>
      <x:c r="M15" s="27" t="n">
        <x:f>K15-L15</x:f>
        <x:v>0</x:v>
      </x:c>
      <x:c r="N15" s="26" t="n">
        <x:f>'Portfolio'!L15</x:f>
        <x:v>0</x:v>
      </x:c>
      <x:c r="O15" s="27" t="n">
        <x:f>N15+D15</x:f>
        <x:v>0</x:v>
      </x:c>
      <x:c r="P15" s="26" t="n">
        <x:f>'June 30 Target'!L15</x:f>
        <x:v>0</x:v>
      </x:c>
      <x:c r="Q15" s="27" t="n">
        <x:f>O15-P15</x:f>
        <x:v>0</x:v>
      </x:c>
      <x:c r="R15" s="27" t="n">
        <x:f>G15+D15-B15-C15</x:f>
        <x:v>0</x:v>
      </x:c>
      <x:c r="S15" s="7" t="str">
        <x:v>Carry; apply policy screening</x:v>
      </x:c>
    </x:row>
    <x:row r="16" ht="24" customHeight="1">
      <x:c r="A16" s="3" t="str">
        <x:v>Ostrella</x:v>
      </x:c>
      <x:c r="B16" s="24" t="n">
        <x:f>'Portfolio'!K16</x:f>
        <x:v>13.9</x:v>
      </x:c>
      <x:c r="C16" s="24" t="n">
        <x:f>SUMIF('Q2 2026 Activity'!$B$2:$B$20,A16,'Q2 2026 Activity'!$F$2:$F$20)</x:f>
        <x:v>0</x:v>
      </x:c>
      <x:c r="D16" s="24" t="n">
        <x:f>SUMIF('Q2 2026 Activity'!$B$2:$B$20,A16,'Q2 2026 Activity'!$H$2:$H$20)</x:f>
        <x:v>0</x:v>
      </x:c>
      <x:c r="E16" s="25" t="n">
        <x:f>B16</x:f>
        <x:v>13.9</x:v>
      </x:c>
      <x:c r="F16" s="25" t="n">
        <x:f>G16-E16</x:f>
        <x:v>0</x:v>
      </x:c>
      <x:c r="G16" s="25" t="n">
        <x:f>E16</x:f>
        <x:v>13.9</x:v>
      </x:c>
      <x:c r="H16" s="24" t="n">
        <x:f>'June 30 Target'!K16</x:f>
        <x:v>13.9</x:v>
      </x:c>
      <x:c r="I16" s="25" t="n">
        <x:f>G16-H16</x:f>
        <x:v>0</x:v>
      </x:c>
      <x:c r="J16" s="24" t="n">
        <x:f>'Portfolio'!I16</x:f>
        <x:v>8</x:v>
      </x:c>
      <x:c r="K16" s="25" t="n">
        <x:f>J16+C16</x:f>
        <x:v>8</x:v>
      </x:c>
      <x:c r="L16" s="24" t="n">
        <x:f>'June 30 Target'!I16</x:f>
        <x:v>8</x:v>
      </x:c>
      <x:c r="M16" s="25" t="n">
        <x:f>K16-L16</x:f>
        <x:v>0</x:v>
      </x:c>
      <x:c r="N16" s="24" t="n">
        <x:f>'Portfolio'!L16</x:f>
        <x:v>0</x:v>
      </x:c>
      <x:c r="O16" s="25" t="n">
        <x:f>N16+D16</x:f>
        <x:v>0</x:v>
      </x:c>
      <x:c r="P16" s="24" t="n">
        <x:f>'June 30 Target'!L16</x:f>
        <x:v>0</x:v>
      </x:c>
      <x:c r="Q16" s="25" t="n">
        <x:f>O16-P16</x:f>
        <x:v>0</x:v>
      </x:c>
      <x:c r="R16" s="25" t="n">
        <x:f>G16+D16-B16-C16</x:f>
        <x:v>0</x:v>
      </x:c>
      <x:c r="S16" s="3" t="str">
        <x:v>Carry; apply policy screening</x:v>
      </x:c>
    </x:row>
    <x:row r="17" ht="24" customHeight="1">
      <x:c r="A17" s="7" t="str">
        <x:v>Pellagrin</x:v>
      </x:c>
      <x:c r="B17" s="26" t="n">
        <x:f>'Portfolio'!K17</x:f>
        <x:v>13</x:v>
      </x:c>
      <x:c r="C17" s="26" t="n">
        <x:f>SUMIF('Q2 2026 Activity'!$B$2:$B$20,A17,'Q2 2026 Activity'!$F$2:$F$20)</x:f>
        <x:v>0</x:v>
      </x:c>
      <x:c r="D17" s="26" t="n">
        <x:f>SUMIF('Q2 2026 Activity'!$B$2:$B$20,A17,'Q2 2026 Activity'!$H$2:$H$20)</x:f>
        <x:v>0</x:v>
      </x:c>
      <x:c r="E17" s="27" t="n">
        <x:f>B17</x:f>
        <x:v>13</x:v>
      </x:c>
      <x:c r="F17" s="27" t="n">
        <x:f>G17-E17</x:f>
        <x:v>0</x:v>
      </x:c>
      <x:c r="G17" s="27" t="n">
        <x:f>E17</x:f>
        <x:v>13</x:v>
      </x:c>
      <x:c r="H17" s="26" t="n">
        <x:f>'June 30 Target'!K17</x:f>
        <x:v>13</x:v>
      </x:c>
      <x:c r="I17" s="27" t="n">
        <x:f>G17-H17</x:f>
        <x:v>0</x:v>
      </x:c>
      <x:c r="J17" s="26" t="n">
        <x:f>'Portfolio'!I17</x:f>
        <x:v>4</x:v>
      </x:c>
      <x:c r="K17" s="27" t="n">
        <x:f>J17+C17</x:f>
        <x:v>4</x:v>
      </x:c>
      <x:c r="L17" s="26" t="n">
        <x:f>'June 30 Target'!I17</x:f>
        <x:v>4</x:v>
      </x:c>
      <x:c r="M17" s="27" t="n">
        <x:f>K17-L17</x:f>
        <x:v>0</x:v>
      </x:c>
      <x:c r="N17" s="26" t="n">
        <x:f>'Portfolio'!L17</x:f>
        <x:v>0</x:v>
      </x:c>
      <x:c r="O17" s="27" t="n">
        <x:f>N17+D17</x:f>
        <x:v>0</x:v>
      </x:c>
      <x:c r="P17" s="26" t="n">
        <x:f>'June 30 Target'!L17</x:f>
        <x:v>0</x:v>
      </x:c>
      <x:c r="Q17" s="27" t="n">
        <x:f>O17-P17</x:f>
        <x:v>0</x:v>
      </x:c>
      <x:c r="R17" s="27" t="n">
        <x:f>G17+D17-B17-C17</x:f>
        <x:v>0</x:v>
      </x:c>
      <x:c r="S17" s="7" t="str">
        <x:v>Carry; apply policy screening</x:v>
      </x:c>
    </x:row>
    <x:row r="18" ht="24" customHeight="1">
      <x:c r="A18" s="3" t="str">
        <x:v>Quindle</x:v>
      </x:c>
      <x:c r="B18" s="24" t="n">
        <x:f>'Portfolio'!K18</x:f>
        <x:v>7.4</x:v>
      </x:c>
      <x:c r="C18" s="24" t="n">
        <x:f>SUMIF('Q2 2026 Activity'!$B$2:$B$20,A18,'Q2 2026 Activity'!$F$2:$F$20)</x:f>
        <x:v>0</x:v>
      </x:c>
      <x:c r="D18" s="24" t="n">
        <x:f>SUMIF('Q2 2026 Activity'!$B$2:$B$20,A18,'Q2 2026 Activity'!$H$2:$H$20)</x:f>
        <x:v>0</x:v>
      </x:c>
      <x:c r="E18" s="25" t="n">
        <x:f>B18</x:f>
        <x:v>7.4</x:v>
      </x:c>
      <x:c r="F18" s="25" t="n">
        <x:f>G18-E18</x:f>
        <x:v>0</x:v>
      </x:c>
      <x:c r="G18" s="25" t="n">
        <x:f>E18</x:f>
        <x:v>7.4</x:v>
      </x:c>
      <x:c r="H18" s="24" t="n">
        <x:f>'June 30 Target'!K18</x:f>
        <x:v>7.4</x:v>
      </x:c>
      <x:c r="I18" s="25" t="n">
        <x:f>G18-H18</x:f>
        <x:v>0</x:v>
      </x:c>
      <x:c r="J18" s="24" t="n">
        <x:f>'Portfolio'!I18</x:f>
        <x:v>6</x:v>
      </x:c>
      <x:c r="K18" s="25" t="n">
        <x:f>J18+C18</x:f>
        <x:v>6</x:v>
      </x:c>
      <x:c r="L18" s="24" t="n">
        <x:f>'June 30 Target'!I18</x:f>
        <x:v>6</x:v>
      </x:c>
      <x:c r="M18" s="25" t="n">
        <x:f>K18-L18</x:f>
        <x:v>0</x:v>
      </x:c>
      <x:c r="N18" s="24" t="n">
        <x:f>'Portfolio'!L18</x:f>
        <x:v>0</x:v>
      </x:c>
      <x:c r="O18" s="25" t="n">
        <x:f>N18+D18</x:f>
        <x:v>0</x:v>
      </x:c>
      <x:c r="P18" s="24" t="n">
        <x:f>'June 30 Target'!L18</x:f>
        <x:v>0</x:v>
      </x:c>
      <x:c r="Q18" s="25" t="n">
        <x:f>O18-P18</x:f>
        <x:v>0</x:v>
      </x:c>
      <x:c r="R18" s="25" t="n">
        <x:f>G18+D18-B18-C18</x:f>
        <x:v>0</x:v>
      </x:c>
      <x:c r="S18" s="3" t="str">
        <x:v>Carry; apply policy screening</x:v>
      </x:c>
    </x:row>
    <x:row r="19" ht="24" customHeight="1">
      <x:c r="A19" s="7" t="str">
        <x:v>Rivenmark</x:v>
      </x:c>
      <x:c r="B19" s="26" t="n">
        <x:f>'Portfolio'!K19</x:f>
        <x:v>2.9</x:v>
      </x:c>
      <x:c r="C19" s="26" t="n">
        <x:f>SUMIF('Q2 2026 Activity'!$B$2:$B$20,A19,'Q2 2026 Activity'!$F$2:$F$20)</x:f>
        <x:v>0</x:v>
      </x:c>
      <x:c r="D19" s="26" t="n">
        <x:f>SUMIF('Q2 2026 Activity'!$B$2:$B$20,A19,'Q2 2026 Activity'!$H$2:$H$20)</x:f>
        <x:v>0</x:v>
      </x:c>
      <x:c r="E19" s="27" t="n">
        <x:f>B19</x:f>
        <x:v>2.9</x:v>
      </x:c>
      <x:c r="F19" s="27" t="n">
        <x:f>G19-E19</x:f>
        <x:v>0</x:v>
      </x:c>
      <x:c r="G19" s="27" t="n">
        <x:f>E19</x:f>
        <x:v>2.9</x:v>
      </x:c>
      <x:c r="H19" s="26" t="n">
        <x:f>'June 30 Target'!K19</x:f>
        <x:v>2.9</x:v>
      </x:c>
      <x:c r="I19" s="27" t="n">
        <x:f>G19-H19</x:f>
        <x:v>0</x:v>
      </x:c>
      <x:c r="J19" s="26" t="n">
        <x:f>'Portfolio'!I19</x:f>
        <x:v>2.2</x:v>
      </x:c>
      <x:c r="K19" s="27" t="n">
        <x:f>J19+C19</x:f>
        <x:v>2.2</x:v>
      </x:c>
      <x:c r="L19" s="26" t="n">
        <x:f>'June 30 Target'!I19</x:f>
        <x:v>2.2</x:v>
      </x:c>
      <x:c r="M19" s="27" t="n">
        <x:f>K19-L19</x:f>
        <x:v>0</x:v>
      </x:c>
      <x:c r="N19" s="26" t="n">
        <x:f>'Portfolio'!L19</x:f>
        <x:v>0</x:v>
      </x:c>
      <x:c r="O19" s="27" t="n">
        <x:f>N19+D19</x:f>
        <x:v>0</x:v>
      </x:c>
      <x:c r="P19" s="26" t="n">
        <x:f>'June 30 Target'!L19</x:f>
        <x:v>0</x:v>
      </x:c>
      <x:c r="Q19" s="27" t="n">
        <x:f>O19-P19</x:f>
        <x:v>0</x:v>
      </x:c>
      <x:c r="R19" s="27" t="n">
        <x:f>G19+D19-B19-C19</x:f>
        <x:v>0</x:v>
      </x:c>
      <x:c r="S19" s="7" t="str">
        <x:v>Carry; apply policy screening</x:v>
      </x:c>
    </x:row>
    <x:row r="20" ht="24" customHeight="1">
      <x:c r="A20" s="3" t="str">
        <x:v>Solvantra</x:v>
      </x:c>
      <x:c r="B20" s="24" t="n">
        <x:f>'Portfolio'!K20</x:f>
        <x:v>8.9</x:v>
      </x:c>
      <x:c r="C20" s="24" t="n">
        <x:f>SUMIF('Q2 2026 Activity'!$B$2:$B$20,A20,'Q2 2026 Activity'!$F$2:$F$20)</x:f>
        <x:v>0</x:v>
      </x:c>
      <x:c r="D20" s="24" t="n">
        <x:f>SUMIF('Q2 2026 Activity'!$B$2:$B$20,A20,'Q2 2026 Activity'!$H$2:$H$20)</x:f>
        <x:v>0</x:v>
      </x:c>
      <x:c r="E20" s="25" t="n">
        <x:f>B20</x:f>
        <x:v>8.9</x:v>
      </x:c>
      <x:c r="F20" s="25" t="n">
        <x:f>G20-E20</x:f>
        <x:v>0</x:v>
      </x:c>
      <x:c r="G20" s="25" t="n">
        <x:f>E20</x:f>
        <x:v>8.9</x:v>
      </x:c>
      <x:c r="H20" s="24" t="n">
        <x:f>'June 30 Target'!K20</x:f>
        <x:v>8.9</x:v>
      </x:c>
      <x:c r="I20" s="25" t="n">
        <x:f>G20-H20</x:f>
        <x:v>0</x:v>
      </x:c>
      <x:c r="J20" s="24" t="n">
        <x:f>'Portfolio'!I20</x:f>
        <x:v>5.1</x:v>
      </x:c>
      <x:c r="K20" s="25" t="n">
        <x:f>J20+C20</x:f>
        <x:v>5.1</x:v>
      </x:c>
      <x:c r="L20" s="24" t="n">
        <x:f>'June 30 Target'!I20</x:f>
        <x:v>5.1</x:v>
      </x:c>
      <x:c r="M20" s="25" t="n">
        <x:f>K20-L20</x:f>
        <x:v>0</x:v>
      </x:c>
      <x:c r="N20" s="24" t="n">
        <x:f>'Portfolio'!L20</x:f>
        <x:v>0</x:v>
      </x:c>
      <x:c r="O20" s="25" t="n">
        <x:f>N20+D20</x:f>
        <x:v>0</x:v>
      </x:c>
      <x:c r="P20" s="24" t="n">
        <x:f>'June 30 Target'!L20</x:f>
        <x:v>0</x:v>
      </x:c>
      <x:c r="Q20" s="25" t="n">
        <x:f>O20-P20</x:f>
        <x:v>0</x:v>
      </x:c>
      <x:c r="R20" s="25" t="n">
        <x:f>G20+D20-B20-C20</x:f>
        <x:v>0</x:v>
      </x:c>
      <x:c r="S20" s="3" t="str">
        <x:v>Carry; apply policy screening</x:v>
      </x:c>
    </x:row>
    <x:row r="21" ht="24" customHeight="1">
      <x:c r="A21" s="7" t="str">
        <x:v>Tarnwick Aerospace</x:v>
      </x:c>
      <x:c r="B21" s="26" t="n">
        <x:f>'Portfolio'!K21</x:f>
        <x:v>2</x:v>
      </x:c>
      <x:c r="C21" s="26" t="n">
        <x:f>SUMIF('Q2 2026 Activity'!$B$2:$B$20,A21,'Q2 2026 Activity'!$F$2:$F$20)</x:f>
        <x:v>0</x:v>
      </x:c>
      <x:c r="D21" s="26" t="n">
        <x:f>SUMIF('Q2 2026 Activity'!$B$2:$B$20,A21,'Q2 2026 Activity'!$H$2:$H$20)</x:f>
        <x:v>0</x:v>
      </x:c>
      <x:c r="E21" s="27" t="n">
        <x:f>B21</x:f>
        <x:v>2</x:v>
      </x:c>
      <x:c r="F21" s="27" t="n">
        <x:f>G21-E21</x:f>
        <x:v>0</x:v>
      </x:c>
      <x:c r="G21" s="27" t="n">
        <x:f>E21</x:f>
        <x:v>2</x:v>
      </x:c>
      <x:c r="H21" s="26" t="n">
        <x:f>'June 30 Target'!K21</x:f>
        <x:v>2</x:v>
      </x:c>
      <x:c r="I21" s="27" t="n">
        <x:f>G21-H21</x:f>
        <x:v>0</x:v>
      </x:c>
      <x:c r="J21" s="26" t="n">
        <x:f>'Portfolio'!I21</x:f>
        <x:v>1</x:v>
      </x:c>
      <x:c r="K21" s="27" t="n">
        <x:f>J21+C21</x:f>
        <x:v>1</x:v>
      </x:c>
      <x:c r="L21" s="26" t="n">
        <x:f>'June 30 Target'!I21</x:f>
        <x:v>1</x:v>
      </x:c>
      <x:c r="M21" s="27" t="n">
        <x:f>K21-L21</x:f>
        <x:v>0</x:v>
      </x:c>
      <x:c r="N21" s="26" t="n">
        <x:f>'Portfolio'!L21</x:f>
        <x:v>0</x:v>
      </x:c>
      <x:c r="O21" s="27" t="n">
        <x:f>N21+D21</x:f>
        <x:v>0</x:v>
      </x:c>
      <x:c r="P21" s="26" t="n">
        <x:f>'June 30 Target'!L21</x:f>
        <x:v>0</x:v>
      </x:c>
      <x:c r="Q21" s="27" t="n">
        <x:f>O21-P21</x:f>
        <x:v>0</x:v>
      </x:c>
      <x:c r="R21" s="27" t="n">
        <x:f>G21+D21-B21-C21</x:f>
        <x:v>0</x:v>
      </x:c>
      <x:c r="S21" s="7" t="str">
        <x:v>Carry; apply policy screening</x:v>
      </x:c>
    </x:row>
    <x:row r="22" ht="24" customHeight="1">
      <x:c r="A22" s="3" t="str">
        <x:v>Umberly</x:v>
      </x:c>
      <x:c r="B22" s="24" t="n">
        <x:f>'Portfolio'!K22</x:f>
        <x:v>24.1</x:v>
      </x:c>
      <x:c r="C22" s="24" t="n">
        <x:f>SUMIF('Q2 2026 Activity'!$B$2:$B$20,A22,'Q2 2026 Activity'!$F$2:$F$20)</x:f>
        <x:v>0</x:v>
      </x:c>
      <x:c r="D22" s="24" t="n">
        <x:f>SUMIF('Q2 2026 Activity'!$B$2:$B$20,A22,'Q2 2026 Activity'!$H$2:$H$20)</x:f>
        <x:v>0</x:v>
      </x:c>
      <x:c r="E22" s="25" t="n">
        <x:f>B22</x:f>
        <x:v>24.1</x:v>
      </x:c>
      <x:c r="F22" s="25" t="n">
        <x:f>G22-E22</x:f>
        <x:v>0</x:v>
      </x:c>
      <x:c r="G22" s="25" t="n">
        <x:f>E22</x:f>
        <x:v>24.1</x:v>
      </x:c>
      <x:c r="H22" s="24" t="n">
        <x:f>'June 30 Target'!K22</x:f>
        <x:v>24.1</x:v>
      </x:c>
      <x:c r="I22" s="25" t="n">
        <x:f>G22-H22</x:f>
        <x:v>0</x:v>
      </x:c>
      <x:c r="J22" s="24" t="n">
        <x:f>'Portfolio'!I22</x:f>
        <x:v>10</x:v>
      </x:c>
      <x:c r="K22" s="25" t="n">
        <x:f>J22+C22</x:f>
        <x:v>10</x:v>
      </x:c>
      <x:c r="L22" s="24" t="n">
        <x:f>'June 30 Target'!I22</x:f>
        <x:v>10</x:v>
      </x:c>
      <x:c r="M22" s="25" t="n">
        <x:f>K22-L22</x:f>
        <x:v>0</x:v>
      </x:c>
      <x:c r="N22" s="24" t="n">
        <x:f>'Portfolio'!L22</x:f>
        <x:v>0</x:v>
      </x:c>
      <x:c r="O22" s="25" t="n">
        <x:f>N22+D22</x:f>
        <x:v>0</x:v>
      </x:c>
      <x:c r="P22" s="24" t="n">
        <x:f>'June 30 Target'!L22</x:f>
        <x:v>0</x:v>
      </x:c>
      <x:c r="Q22" s="25" t="n">
        <x:f>O22-P22</x:f>
        <x:v>0</x:v>
      </x:c>
      <x:c r="R22" s="25" t="n">
        <x:f>G22+D22-B22-C22</x:f>
        <x:v>0</x:v>
      </x:c>
      <x:c r="S22" s="3" t="str">
        <x:v>Undrawn debt plus short runway</x:v>
      </x:c>
    </x:row>
    <x:row r="23" ht="24" customHeight="1">
      <x:c r="A23" s="7" t="str">
        <x:v>Vexmoor</x:v>
      </x:c>
      <x:c r="B23" s="26" t="n">
        <x:f>'Portfolio'!K23</x:f>
        <x:v>22.7</x:v>
      </x:c>
      <x:c r="C23" s="26" t="n">
        <x:f>SUMIF('Q2 2026 Activity'!$B$2:$B$20,A23,'Q2 2026 Activity'!$F$2:$F$20)</x:f>
        <x:v>0</x:v>
      </x:c>
      <x:c r="D23" s="26" t="n">
        <x:f>SUMIF('Q2 2026 Activity'!$B$2:$B$20,A23,'Q2 2026 Activity'!$H$2:$H$20)</x:f>
        <x:v>0</x:v>
      </x:c>
      <x:c r="E23" s="27" t="n">
        <x:f>B23</x:f>
        <x:v>22.7</x:v>
      </x:c>
      <x:c r="F23" s="27" t="n">
        <x:f>G23-E23</x:f>
        <x:v>0</x:v>
      </x:c>
      <x:c r="G23" s="27" t="n">
        <x:f>E23</x:f>
        <x:v>22.7</x:v>
      </x:c>
      <x:c r="H23" s="26" t="n">
        <x:f>'June 30 Target'!K23</x:f>
        <x:v>22.7</x:v>
      </x:c>
      <x:c r="I23" s="27" t="n">
        <x:f>G23-H23</x:f>
        <x:v>0</x:v>
      </x:c>
      <x:c r="J23" s="26" t="n">
        <x:f>'Portfolio'!I23</x:f>
        <x:v>6</x:v>
      </x:c>
      <x:c r="K23" s="27" t="n">
        <x:f>J23+C23</x:f>
        <x:v>6</x:v>
      </x:c>
      <x:c r="L23" s="26" t="n">
        <x:f>'June 30 Target'!I23</x:f>
        <x:v>6</x:v>
      </x:c>
      <x:c r="M23" s="27" t="n">
        <x:f>K23-L23</x:f>
        <x:v>0</x:v>
      </x:c>
      <x:c r="N23" s="26" t="n">
        <x:f>'Portfolio'!L23</x:f>
        <x:v>0</x:v>
      </x:c>
      <x:c r="O23" s="27" t="n">
        <x:f>N23+D23</x:f>
        <x:v>0</x:v>
      </x:c>
      <x:c r="P23" s="26" t="n">
        <x:f>'June 30 Target'!L23</x:f>
        <x:v>0</x:v>
      </x:c>
      <x:c r="Q23" s="27" t="n">
        <x:f>O23-P23</x:f>
        <x:v>0</x:v>
      </x:c>
      <x:c r="R23" s="27" t="n">
        <x:f>G23+D23-B23-C23</x:f>
        <x:v>0</x:v>
      </x:c>
      <x:c r="S23" s="7" t="str">
        <x:v>Carry; apply policy screening</x:v>
      </x:c>
    </x:row>
    <x:row r="24" ht="24" customHeight="1">
      <x:c r="A24" s="3" t="str">
        <x:v>Wrenfield Data</x:v>
      </x:c>
      <x:c r="B24" s="24" t="n">
        <x:f>'Portfolio'!K24</x:f>
        <x:v>12.4</x:v>
      </x:c>
      <x:c r="C24" s="24" t="n">
        <x:f>SUMIF('Q2 2026 Activity'!$B$2:$B$20,A24,'Q2 2026 Activity'!$F$2:$F$20)</x:f>
        <x:v>0</x:v>
      </x:c>
      <x:c r="D24" s="24" t="n">
        <x:f>SUMIF('Q2 2026 Activity'!$B$2:$B$20,A24,'Q2 2026 Activity'!$H$2:$H$20)</x:f>
        <x:v>0</x:v>
      </x:c>
      <x:c r="E24" s="25" t="n">
        <x:f>B24</x:f>
        <x:v>12.4</x:v>
      </x:c>
      <x:c r="F24" s="25" t="n">
        <x:f>G24-E24</x:f>
        <x:v>0</x:v>
      </x:c>
      <x:c r="G24" s="25" t="n">
        <x:f>E24</x:f>
        <x:v>12.4</x:v>
      </x:c>
      <x:c r="H24" s="24" t="n">
        <x:f>'June 30 Target'!K24</x:f>
        <x:v>12.4</x:v>
      </x:c>
      <x:c r="I24" s="25" t="n">
        <x:f>G24-H24</x:f>
        <x:v>0</x:v>
      </x:c>
      <x:c r="J24" s="24" t="n">
        <x:f>'Portfolio'!I24</x:f>
        <x:v>6</x:v>
      </x:c>
      <x:c r="K24" s="25" t="n">
        <x:f>J24+C24</x:f>
        <x:v>6</x:v>
      </x:c>
      <x:c r="L24" s="24" t="n">
        <x:f>'June 30 Target'!I24</x:f>
        <x:v>6</x:v>
      </x:c>
      <x:c r="M24" s="25" t="n">
        <x:f>K24-L24</x:f>
        <x:v>0</x:v>
      </x:c>
      <x:c r="N24" s="24" t="n">
        <x:f>'Portfolio'!L24</x:f>
        <x:v>0</x:v>
      </x:c>
      <x:c r="O24" s="25" t="n">
        <x:f>N24+D24</x:f>
        <x:v>0</x:v>
      </x:c>
      <x:c r="P24" s="24" t="n">
        <x:f>'June 30 Target'!L24</x:f>
        <x:v>0</x:v>
      </x:c>
      <x:c r="Q24" s="25" t="n">
        <x:f>O24-P24</x:f>
        <x:v>0</x:v>
      </x:c>
      <x:c r="R24" s="25" t="n">
        <x:f>G24+D24-B24-C24</x:f>
        <x:v>0</x:v>
      </x:c>
      <x:c r="S24" s="3" t="str">
        <x:v>Carry; apply policy screening</x:v>
      </x:c>
    </x:row>
    <x:row r="25" ht="24" customHeight="1">
      <x:c r="A25" s="7" t="str">
        <x:v>Xalorin</x:v>
      </x:c>
      <x:c r="B25" s="26" t="n">
        <x:f>'Portfolio'!K25</x:f>
        <x:v>6.1</x:v>
      </x:c>
      <x:c r="C25" s="26" t="n">
        <x:f>SUMIF('Q2 2026 Activity'!$B$2:$B$20,A25,'Q2 2026 Activity'!$F$2:$F$20)</x:f>
        <x:v>0</x:v>
      </x:c>
      <x:c r="D25" s="26" t="n">
        <x:f>SUMIF('Q2 2026 Activity'!$B$2:$B$20,A25,'Q2 2026 Activity'!$H$2:$H$20)</x:f>
        <x:v>0</x:v>
      </x:c>
      <x:c r="E25" s="27" t="n">
        <x:f>B25</x:f>
        <x:v>6.1</x:v>
      </x:c>
      <x:c r="F25" s="27" t="n">
        <x:f>G25-E25</x:f>
        <x:v>0</x:v>
      </x:c>
      <x:c r="G25" s="27" t="n">
        <x:f>E25</x:f>
        <x:v>6.1</x:v>
      </x:c>
      <x:c r="H25" s="26" t="n">
        <x:f>'June 30 Target'!K25</x:f>
        <x:v>6.1</x:v>
      </x:c>
      <x:c r="I25" s="27" t="n">
        <x:f>G25-H25</x:f>
        <x:v>0</x:v>
      </x:c>
      <x:c r="J25" s="26" t="n">
        <x:f>'Portfolio'!I25</x:f>
        <x:v>4</x:v>
      </x:c>
      <x:c r="K25" s="27" t="n">
        <x:f>J25+C25</x:f>
        <x:v>4</x:v>
      </x:c>
      <x:c r="L25" s="26" t="n">
        <x:f>'June 30 Target'!I25</x:f>
        <x:v>4</x:v>
      </x:c>
      <x:c r="M25" s="27" t="n">
        <x:f>K25-L25</x:f>
        <x:v>0</x:v>
      </x:c>
      <x:c r="N25" s="26" t="n">
        <x:f>'Portfolio'!L25</x:f>
        <x:v>0</x:v>
      </x:c>
      <x:c r="O25" s="27" t="n">
        <x:f>N25+D25</x:f>
        <x:v>0</x:v>
      </x:c>
      <x:c r="P25" s="26" t="n">
        <x:f>'June 30 Target'!L25</x:f>
        <x:v>0</x:v>
      </x:c>
      <x:c r="Q25" s="27" t="n">
        <x:f>O25-P25</x:f>
        <x:v>0</x:v>
      </x:c>
      <x:c r="R25" s="27" t="n">
        <x:f>G25+D25-B25-C25</x:f>
        <x:v>0</x:v>
      </x:c>
      <x:c r="S25" s="7" t="str">
        <x:v>Carry; apply policy screening</x:v>
      </x:c>
    </x:row>
    <x:row r="26" ht="24" customHeight="1">
      <x:c r="A26" s="3" t="str">
        <x:v>Yondermist</x:v>
      </x:c>
      <x:c r="B26" s="24" t="n">
        <x:f>'Portfolio'!K26</x:f>
        <x:v>1.3</x:v>
      </x:c>
      <x:c r="C26" s="24" t="n">
        <x:f>SUMIF('Q2 2026 Activity'!$B$2:$B$20,A26,'Q2 2026 Activity'!$F$2:$F$20)</x:f>
        <x:v>0</x:v>
      </x:c>
      <x:c r="D26" s="24" t="n">
        <x:f>SUMIF('Q2 2026 Activity'!$B$2:$B$20,A26,'Q2 2026 Activity'!$H$2:$H$20)</x:f>
        <x:v>0</x:v>
      </x:c>
      <x:c r="E26" s="25" t="n">
        <x:f>B26</x:f>
        <x:v>1.3</x:v>
      </x:c>
      <x:c r="F26" s="25" t="n">
        <x:f>G26-E26</x:f>
        <x:v>0</x:v>
      </x:c>
      <x:c r="G26" s="25" t="n">
        <x:f>E26</x:f>
        <x:v>1.3</x:v>
      </x:c>
      <x:c r="H26" s="24" t="n">
        <x:f>'June 30 Target'!K26</x:f>
        <x:v>1.3</x:v>
      </x:c>
      <x:c r="I26" s="25" t="n">
        <x:f>G26-H26</x:f>
        <x:v>0</x:v>
      </x:c>
      <x:c r="J26" s="24" t="n">
        <x:f>'Portfolio'!I26</x:f>
        <x:v>1.2</x:v>
      </x:c>
      <x:c r="K26" s="25" t="n">
        <x:f>J26+C26</x:f>
        <x:v>1.2</x:v>
      </x:c>
      <x:c r="L26" s="24" t="n">
        <x:f>'June 30 Target'!I26</x:f>
        <x:v>1.2</x:v>
      </x:c>
      <x:c r="M26" s="25" t="n">
        <x:f>K26-L26</x:f>
        <x:v>0</x:v>
      </x:c>
      <x:c r="N26" s="24" t="n">
        <x:f>'Portfolio'!L26</x:f>
        <x:v>0</x:v>
      </x:c>
      <x:c r="O26" s="25" t="n">
        <x:f>N26+D26</x:f>
        <x:v>0</x:v>
      </x:c>
      <x:c r="P26" s="24" t="n">
        <x:f>'June 30 Target'!L26</x:f>
        <x:v>0</x:v>
      </x:c>
      <x:c r="Q26" s="25" t="n">
        <x:f>O26-P26</x:f>
        <x:v>0</x:v>
      </x:c>
      <x:c r="R26" s="25" t="n">
        <x:f>G26+D26-B26-C26</x:f>
        <x:v>0</x:v>
      </x:c>
      <x:c r="S26" s="3" t="str">
        <x:v>Carry; apply policy screening</x:v>
      </x:c>
    </x:row>
    <x:row r="27" ht="24" customHeight="1">
      <x:c r="A27" s="7" t="str">
        <x:v>Zephrine</x:v>
      </x:c>
      <x:c r="B27" s="26" t="n">
        <x:f>'Portfolio'!K27</x:f>
        <x:v>1.1</x:v>
      </x:c>
      <x:c r="C27" s="26" t="n">
        <x:f>SUMIF('Q2 2026 Activity'!$B$2:$B$20,A27,'Q2 2026 Activity'!$F$2:$F$20)</x:f>
        <x:v>0</x:v>
      </x:c>
      <x:c r="D27" s="26" t="n">
        <x:f>SUMIF('Q2 2026 Activity'!$B$2:$B$20,A27,'Q2 2026 Activity'!$H$2:$H$20)</x:f>
        <x:v>0</x:v>
      </x:c>
      <x:c r="E27" s="27" t="n">
        <x:f>B27</x:f>
        <x:v>1.1</x:v>
      </x:c>
      <x:c r="F27" s="27" t="n">
        <x:f>G27-E27</x:f>
        <x:v>0</x:v>
      </x:c>
      <x:c r="G27" s="27" t="n">
        <x:f>E27</x:f>
        <x:v>1.1</x:v>
      </x:c>
      <x:c r="H27" s="26" t="n">
        <x:f>'June 30 Target'!K27</x:f>
        <x:v>1.1</x:v>
      </x:c>
      <x:c r="I27" s="27" t="n">
        <x:f>G27-H27</x:f>
        <x:v>0</x:v>
      </x:c>
      <x:c r="J27" s="26" t="n">
        <x:f>'Portfolio'!I27</x:f>
        <x:v>2.5</x:v>
      </x:c>
      <x:c r="K27" s="27" t="n">
        <x:f>J27+C27</x:f>
        <x:v>2.5</x:v>
      </x:c>
      <x:c r="L27" s="26" t="n">
        <x:f>'June 30 Target'!I27</x:f>
        <x:v>2.5</x:v>
      </x:c>
      <x:c r="M27" s="27" t="n">
        <x:f>K27-L27</x:f>
        <x:v>0</x:v>
      </x:c>
      <x:c r="N27" s="26" t="n">
        <x:f>'Portfolio'!L27</x:f>
        <x:v>0</x:v>
      </x:c>
      <x:c r="O27" s="27" t="n">
        <x:f>N27+D27</x:f>
        <x:v>0</x:v>
      </x:c>
      <x:c r="P27" s="26" t="n">
        <x:f>'June 30 Target'!L27</x:f>
        <x:v>0</x:v>
      </x:c>
      <x:c r="Q27" s="27" t="n">
        <x:f>O27-P27</x:f>
        <x:v>0</x:v>
      </x:c>
      <x:c r="R27" s="27" t="n">
        <x:f>G27+D27-B27-C27</x:f>
        <x:v>0</x:v>
      </x:c>
      <x:c r="S27" s="7" t="str">
        <x:v>Carry; apply policy screening</x:v>
      </x:c>
    </x:row>
    <x:row r="28" ht="24" customHeight="1">
      <x:c r="A28" s="3" t="str">
        <x:v>Arcfoundry</x:v>
      </x:c>
      <x:c r="B28" s="24" t="n">
        <x:f>'Portfolio'!K28</x:f>
        <x:v>1.4</x:v>
      </x:c>
      <x:c r="C28" s="24" t="n">
        <x:f>SUMIF('Q2 2026 Activity'!$B$2:$B$20,A28,'Q2 2026 Activity'!$F$2:$F$20)</x:f>
        <x:v>0</x:v>
      </x:c>
      <x:c r="D28" s="24" t="n">
        <x:f>SUMIF('Q2 2026 Activity'!$B$2:$B$20,A28,'Q2 2026 Activity'!$H$2:$H$20)</x:f>
        <x:v>0</x:v>
      </x:c>
      <x:c r="E28" s="25" t="n">
        <x:f>B28</x:f>
        <x:v>1.4</x:v>
      </x:c>
      <x:c r="F28" s="25" t="n">
        <x:f>G28-E28</x:f>
        <x:v>0</x:v>
      </x:c>
      <x:c r="G28" s="25" t="n">
        <x:f>E28</x:f>
        <x:v>1.4</x:v>
      </x:c>
      <x:c r="H28" s="24" t="n">
        <x:f>'June 30 Target'!K28</x:f>
        <x:v>1.4</x:v>
      </x:c>
      <x:c r="I28" s="25" t="n">
        <x:f>G28-H28</x:f>
        <x:v>0</x:v>
      </x:c>
      <x:c r="J28" s="24" t="n">
        <x:f>'Portfolio'!I28</x:f>
        <x:v>1.5</x:v>
      </x:c>
      <x:c r="K28" s="25" t="n">
        <x:f>J28+C28</x:f>
        <x:v>1.5</x:v>
      </x:c>
      <x:c r="L28" s="24" t="n">
        <x:f>'June 30 Target'!I28</x:f>
        <x:v>1.5</x:v>
      </x:c>
      <x:c r="M28" s="25" t="n">
        <x:f>K28-L28</x:f>
        <x:v>0</x:v>
      </x:c>
      <x:c r="N28" s="24" t="n">
        <x:f>'Portfolio'!L28</x:f>
        <x:v>0</x:v>
      </x:c>
      <x:c r="O28" s="25" t="n">
        <x:f>N28+D28</x:f>
        <x:v>0</x:v>
      </x:c>
      <x:c r="P28" s="24" t="n">
        <x:f>'June 30 Target'!L28</x:f>
        <x:v>0</x:v>
      </x:c>
      <x:c r="Q28" s="25" t="n">
        <x:f>O28-P28</x:f>
        <x:v>0</x:v>
      </x:c>
      <x:c r="R28" s="25" t="n">
        <x:f>G28+D28-B28-C28</x:f>
        <x:v>0</x:v>
      </x:c>
      <x:c r="S28" s="3" t="str">
        <x:v>Carry; apply policy screening</x:v>
      </x:c>
    </x:row>
    <x:row r="29" ht="24" customHeight="1">
      <x:c r="A29" s="7" t="str">
        <x:v>Brumewell</x:v>
      </x:c>
      <x:c r="B29" s="26" t="n">
        <x:f>'Portfolio'!K29</x:f>
        <x:v>18.5</x:v>
      </x:c>
      <x:c r="C29" s="26" t="n">
        <x:f>SUMIF('Q2 2026 Activity'!$B$2:$B$20,A29,'Q2 2026 Activity'!$F$2:$F$20)</x:f>
        <x:v>0</x:v>
      </x:c>
      <x:c r="D29" s="26" t="n">
        <x:f>SUMIF('Q2 2026 Activity'!$B$2:$B$20,A29,'Q2 2026 Activity'!$H$2:$H$20)</x:f>
        <x:v>0</x:v>
      </x:c>
      <x:c r="E29" s="27" t="n">
        <x:f>B29</x:f>
        <x:v>18.5</x:v>
      </x:c>
      <x:c r="F29" s="27" t="n">
        <x:f>G29-E29</x:f>
        <x:v>0</x:v>
      </x:c>
      <x:c r="G29" s="27" t="n">
        <x:f>E29</x:f>
        <x:v>18.5</x:v>
      </x:c>
      <x:c r="H29" s="26" t="n">
        <x:f>'June 30 Target'!K29</x:f>
        <x:v>18.5</x:v>
      </x:c>
      <x:c r="I29" s="27" t="n">
        <x:f>G29-H29</x:f>
        <x:v>0</x:v>
      </x:c>
      <x:c r="J29" s="26" t="n">
        <x:f>'Portfolio'!I29</x:f>
        <x:v>10</x:v>
      </x:c>
      <x:c r="K29" s="27" t="n">
        <x:f>J29+C29</x:f>
        <x:v>10</x:v>
      </x:c>
      <x:c r="L29" s="26" t="n">
        <x:f>'June 30 Target'!I29</x:f>
        <x:v>10</x:v>
      </x:c>
      <x:c r="M29" s="27" t="n">
        <x:f>K29-L29</x:f>
        <x:v>0</x:v>
      </x:c>
      <x:c r="N29" s="26" t="n">
        <x:f>'Portfolio'!L29</x:f>
        <x:v>0</x:v>
      </x:c>
      <x:c r="O29" s="27" t="n">
        <x:f>N29+D29</x:f>
        <x:v>0</x:v>
      </x:c>
      <x:c r="P29" s="26" t="n">
        <x:f>'June 30 Target'!L29</x:f>
        <x:v>0</x:v>
      </x:c>
      <x:c r="Q29" s="27" t="n">
        <x:f>O29-P29</x:f>
        <x:v>0</x:v>
      </x:c>
      <x:c r="R29" s="27" t="n">
        <x:f>G29+D29-B29-C29</x:f>
        <x:v>0</x:v>
      </x:c>
      <x:c r="S29" s="7" t="str">
        <x:v>Negative growth with no financing repricing</x:v>
      </x:c>
    </x:row>
    <x:row r="30" ht="24" customHeight="1">
      <x:c r="A30" s="3" t="str">
        <x:v>Cascabel Labs</x:v>
      </x:c>
      <x:c r="B30" s="24" t="n">
        <x:f>'Portfolio'!K30</x:f>
        <x:v>6.2</x:v>
      </x:c>
      <x:c r="C30" s="24" t="n">
        <x:f>SUMIF('Q2 2026 Activity'!$B$2:$B$20,A30,'Q2 2026 Activity'!$F$2:$F$20)</x:f>
        <x:v>0</x:v>
      </x:c>
      <x:c r="D30" s="24" t="n">
        <x:f>SUMIF('Q2 2026 Activity'!$B$2:$B$20,A30,'Q2 2026 Activity'!$H$2:$H$20)</x:f>
        <x:v>0</x:v>
      </x:c>
      <x:c r="E30" s="25" t="n">
        <x:f>B30</x:f>
        <x:v>6.2</x:v>
      </x:c>
      <x:c r="F30" s="25" t="n">
        <x:f>G30-E30</x:f>
        <x:v>0</x:v>
      </x:c>
      <x:c r="G30" s="25" t="n">
        <x:f>E30</x:f>
        <x:v>6.2</x:v>
      </x:c>
      <x:c r="H30" s="24" t="n">
        <x:f>'June 30 Target'!K30</x:f>
        <x:v>6.2</x:v>
      </x:c>
      <x:c r="I30" s="25" t="n">
        <x:f>G30-H30</x:f>
        <x:v>0</x:v>
      </x:c>
      <x:c r="J30" s="24" t="n">
        <x:f>'Portfolio'!I30</x:f>
        <x:v>4.1</x:v>
      </x:c>
      <x:c r="K30" s="25" t="n">
        <x:f>J30+C30</x:f>
        <x:v>4.1</x:v>
      </x:c>
      <x:c r="L30" s="24" t="n">
        <x:f>'June 30 Target'!I30</x:f>
        <x:v>4.1</x:v>
      </x:c>
      <x:c r="M30" s="25" t="n">
        <x:f>K30-L30</x:f>
        <x:v>0</x:v>
      </x:c>
      <x:c r="N30" s="24" t="n">
        <x:f>'Portfolio'!L30</x:f>
        <x:v>0</x:v>
      </x:c>
      <x:c r="O30" s="25" t="n">
        <x:f>N30+D30</x:f>
        <x:v>0</x:v>
      </x:c>
      <x:c r="P30" s="24" t="n">
        <x:f>'June 30 Target'!L30</x:f>
        <x:v>0</x:v>
      </x:c>
      <x:c r="Q30" s="25" t="n">
        <x:f>O30-P30</x:f>
        <x:v>0</x:v>
      </x:c>
      <x:c r="R30" s="25" t="n">
        <x:f>G30+D30-B30-C30</x:f>
        <x:v>0</x:v>
      </x:c>
      <x:c r="S30" s="3" t="str">
        <x:v>Carry; apply policy screening</x:v>
      </x:c>
    </x:row>
    <x:row r="31" ht="24" customHeight="1">
      <x:c r="A31" s="7" t="str">
        <x:v>Drayvenn</x:v>
      </x:c>
      <x:c r="B31" s="26" t="n">
        <x:f>'Portfolio'!K31</x:f>
        <x:v>80.3</x:v>
      </x:c>
      <x:c r="C31" s="26" t="n">
        <x:f>SUMIF('Q2 2026 Activity'!$B$2:$B$20,A31,'Q2 2026 Activity'!$F$2:$F$20)</x:f>
        <x:v>0</x:v>
      </x:c>
      <x:c r="D31" s="26" t="n">
        <x:f>SUMIF('Q2 2026 Activity'!$B$2:$B$20,A31,'Q2 2026 Activity'!$H$2:$H$20)</x:f>
        <x:v>0</x:v>
      </x:c>
      <x:c r="E31" s="27" t="n">
        <x:f>B31</x:f>
        <x:v>80.3</x:v>
      </x:c>
      <x:c r="F31" s="27" t="n">
        <x:f>G31-E31</x:f>
        <x:v>0</x:v>
      </x:c>
      <x:c r="G31" s="27" t="n">
        <x:f>E31</x:f>
        <x:v>80.3</x:v>
      </x:c>
      <x:c r="H31" s="26" t="n">
        <x:f>'June 30 Target'!K31</x:f>
        <x:v>80.3</x:v>
      </x:c>
      <x:c r="I31" s="27" t="n">
        <x:f>G31-H31</x:f>
        <x:v>0</x:v>
      </x:c>
      <x:c r="J31" s="26" t="n">
        <x:f>'Portfolio'!I31</x:f>
        <x:v>20</x:v>
      </x:c>
      <x:c r="K31" s="27" t="n">
        <x:f>J31+C31</x:f>
        <x:v>20</x:v>
      </x:c>
      <x:c r="L31" s="26" t="n">
        <x:f>'June 30 Target'!I31</x:f>
        <x:v>20</x:v>
      </x:c>
      <x:c r="M31" s="27" t="n">
        <x:f>K31-L31</x:f>
        <x:v>0</x:v>
      </x:c>
      <x:c r="N31" s="26" t="n">
        <x:f>'Portfolio'!L31</x:f>
        <x:v>0</x:v>
      </x:c>
      <x:c r="O31" s="27" t="n">
        <x:f>N31+D31</x:f>
        <x:v>0</x:v>
      </x:c>
      <x:c r="P31" s="26" t="n">
        <x:f>'June 30 Target'!L31</x:f>
        <x:v>0</x:v>
      </x:c>
      <x:c r="Q31" s="27" t="n">
        <x:f>O31-P31</x:f>
        <x:v>0</x:v>
      </x:c>
      <x:c r="R31" s="27" t="n">
        <x:f>G31+D31-B31-C31</x:f>
        <x:v>0</x:v>
      </x:c>
      <x:c r="S31" s="7" t="str">
        <x:v>Private-company stock split</x:v>
      </x:c>
    </x:row>
    <x:row r="32" ht="24" customHeight="1">
      <x:c r="A32" s="3" t="str">
        <x:v>Eastport Compute</x:v>
      </x:c>
      <x:c r="B32" s="24" t="n">
        <x:f>'Portfolio'!K32</x:f>
        <x:v>1.7</x:v>
      </x:c>
      <x:c r="C32" s="24" t="n">
        <x:f>SUMIF('Q2 2026 Activity'!$B$2:$B$20,A32,'Q2 2026 Activity'!$F$2:$F$20)</x:f>
        <x:v>0</x:v>
      </x:c>
      <x:c r="D32" s="24" t="n">
        <x:f>SUMIF('Q2 2026 Activity'!$B$2:$B$20,A32,'Q2 2026 Activity'!$H$2:$H$20)</x:f>
        <x:v>0</x:v>
      </x:c>
      <x:c r="E32" s="25" t="n">
        <x:f>B32</x:f>
        <x:v>1.7</x:v>
      </x:c>
      <x:c r="F32" s="25" t="n">
        <x:f>G32-E32</x:f>
        <x:v>0</x:v>
      </x:c>
      <x:c r="G32" s="25" t="n">
        <x:f>E32</x:f>
        <x:v>1.7</x:v>
      </x:c>
      <x:c r="H32" s="24" t="n">
        <x:f>'June 30 Target'!K32</x:f>
        <x:v>1.7</x:v>
      </x:c>
      <x:c r="I32" s="25" t="n">
        <x:f>G32-H32</x:f>
        <x:v>0</x:v>
      </x:c>
      <x:c r="J32" s="24" t="n">
        <x:f>'Portfolio'!I32</x:f>
        <x:v>6</x:v>
      </x:c>
      <x:c r="K32" s="25" t="n">
        <x:f>J32+C32</x:f>
        <x:v>6</x:v>
      </x:c>
      <x:c r="L32" s="24" t="n">
        <x:f>'June 30 Target'!I32</x:f>
        <x:v>6</x:v>
      </x:c>
      <x:c r="M32" s="25" t="n">
        <x:f>K32-L32</x:f>
        <x:v>0</x:v>
      </x:c>
      <x:c r="N32" s="24" t="n">
        <x:f>'Portfolio'!L32</x:f>
        <x:v>0</x:v>
      </x:c>
      <x:c r="O32" s="25" t="n">
        <x:f>N32+D32</x:f>
        <x:v>0</x:v>
      </x:c>
      <x:c r="P32" s="24" t="n">
        <x:f>'June 30 Target'!L32</x:f>
        <x:v>0</x:v>
      </x:c>
      <x:c r="Q32" s="25" t="n">
        <x:f>O32-P32</x:f>
        <x:v>0</x:v>
      </x:c>
      <x:c r="R32" s="25" t="n">
        <x:f>G32+D32-B32-C32</x:f>
        <x:v>0</x:v>
      </x:c>
      <x:c r="S32" s="3" t="str">
        <x:v>Carry; apply policy screening</x:v>
      </x:c>
    </x:row>
    <x:row r="33" ht="24" customHeight="1">
      <x:c r="A33" s="7" t="str">
        <x:v>Fallowmere</x:v>
      </x:c>
      <x:c r="B33" s="26" t="n">
        <x:f>'Portfolio'!K33</x:f>
        <x:v>10.3</x:v>
      </x:c>
      <x:c r="C33" s="26" t="n">
        <x:f>SUMIF('Q2 2026 Activity'!$B$2:$B$20,A33,'Q2 2026 Activity'!$F$2:$F$20)</x:f>
        <x:v>0</x:v>
      </x:c>
      <x:c r="D33" s="26" t="n">
        <x:f>SUMIF('Q2 2026 Activity'!$B$2:$B$20,A33,'Q2 2026 Activity'!$H$2:$H$20)</x:f>
        <x:v>0</x:v>
      </x:c>
      <x:c r="E33" s="27" t="n">
        <x:f>B33</x:f>
        <x:v>10.3</x:v>
      </x:c>
      <x:c r="F33" s="27" t="n">
        <x:f>G33-E33</x:f>
        <x:v>0</x:v>
      </x:c>
      <x:c r="G33" s="27" t="n">
        <x:f>E33</x:f>
        <x:v>10.3</x:v>
      </x:c>
      <x:c r="H33" s="26" t="n">
        <x:f>'June 30 Target'!K33</x:f>
        <x:v>10.3</x:v>
      </x:c>
      <x:c r="I33" s="27" t="n">
        <x:f>G33-H33</x:f>
        <x:v>0</x:v>
      </x:c>
      <x:c r="J33" s="26" t="n">
        <x:f>'Portfolio'!I33</x:f>
        <x:v>4</x:v>
      </x:c>
      <x:c r="K33" s="27" t="n">
        <x:f>J33+C33</x:f>
        <x:v>4</x:v>
      </x:c>
      <x:c r="L33" s="26" t="n">
        <x:f>'June 30 Target'!I33</x:f>
        <x:v>4</x:v>
      </x:c>
      <x:c r="M33" s="27" t="n">
        <x:f>K33-L33</x:f>
        <x:v>0</x:v>
      </x:c>
      <x:c r="N33" s="26" t="n">
        <x:f>'Portfolio'!L33</x:f>
        <x:v>0</x:v>
      </x:c>
      <x:c r="O33" s="27" t="n">
        <x:f>N33+D33</x:f>
        <x:v>0</x:v>
      </x:c>
      <x:c r="P33" s="26" t="n">
        <x:f>'June 30 Target'!L33</x:f>
        <x:v>0</x:v>
      </x:c>
      <x:c r="Q33" s="27" t="n">
        <x:f>O33-P33</x:f>
        <x:v>0</x:v>
      </x:c>
      <x:c r="R33" s="27" t="n">
        <x:f>G33+D33-B33-C33</x:f>
        <x:v>0</x:v>
      </x:c>
      <x:c r="S33" s="7" t="str">
        <x:v>Carry; apply policy screening</x:v>
      </x:c>
    </x:row>
    <x:row r="34" ht="24" customHeight="1">
      <x:c r="A34" s="3" t="str">
        <x:v>Glintworks</x:v>
      </x:c>
      <x:c r="B34" s="24" t="n">
        <x:f>'Portfolio'!K34</x:f>
        <x:v>14.3</x:v>
      </x:c>
      <x:c r="C34" s="24" t="n">
        <x:f>SUMIF('Q2 2026 Activity'!$B$2:$B$20,A34,'Q2 2026 Activity'!$F$2:$F$20)</x:f>
        <x:v>0</x:v>
      </x:c>
      <x:c r="D34" s="24" t="n">
        <x:f>SUMIF('Q2 2026 Activity'!$B$2:$B$20,A34,'Q2 2026 Activity'!$H$2:$H$20)</x:f>
        <x:v>0</x:v>
      </x:c>
      <x:c r="E34" s="25" t="n">
        <x:f>B34</x:f>
        <x:v>14.3</x:v>
      </x:c>
      <x:c r="F34" s="25" t="n">
        <x:f>G34-E34</x:f>
        <x:v>0</x:v>
      </x:c>
      <x:c r="G34" s="25" t="n">
        <x:f>E34</x:f>
        <x:v>14.3</x:v>
      </x:c>
      <x:c r="H34" s="24" t="n">
        <x:f>'June 30 Target'!K34</x:f>
        <x:v>14.3</x:v>
      </x:c>
      <x:c r="I34" s="25" t="n">
        <x:f>G34-H34</x:f>
        <x:v>0</x:v>
      </x:c>
      <x:c r="J34" s="24" t="n">
        <x:f>'Portfolio'!I34</x:f>
        <x:v>14</x:v>
      </x:c>
      <x:c r="K34" s="25" t="n">
        <x:f>J34+C34</x:f>
        <x:v>14</x:v>
      </x:c>
      <x:c r="L34" s="24" t="n">
        <x:f>'June 30 Target'!I34</x:f>
        <x:v>14</x:v>
      </x:c>
      <x:c r="M34" s="25" t="n">
        <x:f>K34-L34</x:f>
        <x:v>0</x:v>
      </x:c>
      <x:c r="N34" s="24" t="n">
        <x:f>'Portfolio'!L34</x:f>
        <x:v>0</x:v>
      </x:c>
      <x:c r="O34" s="25" t="n">
        <x:f>N34+D34</x:f>
        <x:v>0</x:v>
      </x:c>
      <x:c r="P34" s="24" t="n">
        <x:f>'June 30 Target'!L34</x:f>
        <x:v>0</x:v>
      </x:c>
      <x:c r="Q34" s="25" t="n">
        <x:f>O34-P34</x:f>
        <x:v>0</x:v>
      </x:c>
      <x:c r="R34" s="25" t="n">
        <x:f>G34+D34-B34-C34</x:f>
        <x:v>0</x:v>
      </x:c>
      <x:c r="S34" s="3" t="str">
        <x:v>Carry; apply policy screening</x:v>
      </x:c>
    </x:row>
    <x:row r="35" ht="24" customHeight="1">
      <x:c r="A35" s="7" t="str">
        <x:v>Hollowpine Robotics</x:v>
      </x:c>
      <x:c r="B35" s="26" t="n">
        <x:f>'Portfolio'!K35</x:f>
        <x:v>30.4</x:v>
      </x:c>
      <x:c r="C35" s="26" t="n">
        <x:f>SUMIF('Q2 2026 Activity'!$B$2:$B$20,A35,'Q2 2026 Activity'!$F$2:$F$20)</x:f>
        <x:v>0</x:v>
      </x:c>
      <x:c r="D35" s="26" t="n">
        <x:f>SUMIF('Q2 2026 Activity'!$B$2:$B$20,A35,'Q2 2026 Activity'!$H$2:$H$20)</x:f>
        <x:v>0</x:v>
      </x:c>
      <x:c r="E35" s="27" t="n">
        <x:f>B35</x:f>
        <x:v>30.4</x:v>
      </x:c>
      <x:c r="F35" s="27" t="n">
        <x:f>G35-E35</x:f>
        <x:v>0</x:v>
      </x:c>
      <x:c r="G35" s="27" t="n">
        <x:f>E35</x:f>
        <x:v>30.4</x:v>
      </x:c>
      <x:c r="H35" s="26" t="n">
        <x:f>'June 30 Target'!K35</x:f>
        <x:v>30.4</x:v>
      </x:c>
      <x:c r="I35" s="27" t="n">
        <x:f>G35-H35</x:f>
        <x:v>0</x:v>
      </x:c>
      <x:c r="J35" s="26" t="n">
        <x:f>'Portfolio'!I35</x:f>
        <x:v>11.9</x:v>
      </x:c>
      <x:c r="K35" s="27" t="n">
        <x:f>J35+C35</x:f>
        <x:v>11.9</x:v>
      </x:c>
      <x:c r="L35" s="26" t="n">
        <x:f>'June 30 Target'!I35</x:f>
        <x:v>11.9</x:v>
      </x:c>
      <x:c r="M35" s="27" t="n">
        <x:f>K35-L35</x:f>
        <x:v>0</x:v>
      </x:c>
      <x:c r="N35" s="26" t="n">
        <x:f>'Portfolio'!L35</x:f>
        <x:v>0</x:v>
      </x:c>
      <x:c r="O35" s="27" t="n">
        <x:f>N35+D35</x:f>
        <x:v>0</x:v>
      </x:c>
      <x:c r="P35" s="26" t="n">
        <x:f>'June 30 Target'!L35</x:f>
        <x:v>0</x:v>
      </x:c>
      <x:c r="Q35" s="27" t="n">
        <x:f>O35-P35</x:f>
        <x:v>0</x:v>
      </x:c>
      <x:c r="R35" s="27" t="n">
        <x:f>G35+D35-B35-C35</x:f>
        <x:v>0</x:v>
      </x:c>
      <x:c r="S35" s="7" t="str">
        <x:v>Carry; apply policy screening</x:v>
      </x:c>
    </x:row>
    <x:row r="36" ht="24" customHeight="1">
      <x:c r="A36" s="3" t="str">
        <x:v>Isoquill</x:v>
      </x:c>
      <x:c r="B36" s="24" t="n">
        <x:f>'Portfolio'!K36</x:f>
        <x:v>14.6</x:v>
      </x:c>
      <x:c r="C36" s="24" t="n">
        <x:f>SUMIF('Q2 2026 Activity'!$B$2:$B$20,A36,'Q2 2026 Activity'!$F$2:$F$20)</x:f>
        <x:v>0</x:v>
      </x:c>
      <x:c r="D36" s="24" t="n">
        <x:f>SUMIF('Q2 2026 Activity'!$B$2:$B$20,A36,'Q2 2026 Activity'!$H$2:$H$20)</x:f>
        <x:v>0</x:v>
      </x:c>
      <x:c r="E36" s="25" t="n">
        <x:f>B36</x:f>
        <x:v>14.6</x:v>
      </x:c>
      <x:c r="F36" s="25" t="n">
        <x:f>G36-E36</x:f>
        <x:v>0</x:v>
      </x:c>
      <x:c r="G36" s="25" t="n">
        <x:f>E36</x:f>
        <x:v>14.6</x:v>
      </x:c>
      <x:c r="H36" s="24" t="n">
        <x:f>'June 30 Target'!K36</x:f>
        <x:v>14.6</x:v>
      </x:c>
      <x:c r="I36" s="25" t="n">
        <x:f>G36-H36</x:f>
        <x:v>0</x:v>
      </x:c>
      <x:c r="J36" s="24" t="n">
        <x:f>'Portfolio'!I36</x:f>
        <x:v>10</x:v>
      </x:c>
      <x:c r="K36" s="25" t="n">
        <x:f>J36+C36</x:f>
        <x:v>10</x:v>
      </x:c>
      <x:c r="L36" s="24" t="n">
        <x:f>'June 30 Target'!I36</x:f>
        <x:v>10</x:v>
      </x:c>
      <x:c r="M36" s="25" t="n">
        <x:f>K36-L36</x:f>
        <x:v>0</x:v>
      </x:c>
      <x:c r="N36" s="24" t="n">
        <x:f>'Portfolio'!L36</x:f>
        <x:v>0</x:v>
      </x:c>
      <x:c r="O36" s="25" t="n">
        <x:f>N36+D36</x:f>
        <x:v>0</x:v>
      </x:c>
      <x:c r="P36" s="24" t="n">
        <x:f>'June 30 Target'!L36</x:f>
        <x:v>0</x:v>
      </x:c>
      <x:c r="Q36" s="25" t="n">
        <x:f>O36-P36</x:f>
        <x:v>0</x:v>
      </x:c>
      <x:c r="R36" s="25" t="n">
        <x:f>G36+D36-B36-C36</x:f>
        <x:v>0</x:v>
      </x:c>
      <x:c r="S36" s="3" t="str">
        <x:v>Carry; apply policy screening</x:v>
      </x:c>
    </x:row>
    <x:row r="37" ht="24" customHeight="1">
      <x:c r="A37" s="7" t="str">
        <x:v>Jupelan</x:v>
      </x:c>
      <x:c r="B37" s="26" t="n">
        <x:f>'Portfolio'!K37</x:f>
        <x:v>14.3</x:v>
      </x:c>
      <x:c r="C37" s="26" t="n">
        <x:f>SUMIF('Q2 2026 Activity'!$B$2:$B$20,A37,'Q2 2026 Activity'!$F$2:$F$20)</x:f>
        <x:v>0</x:v>
      </x:c>
      <x:c r="D37" s="26" t="n">
        <x:f>SUMIF('Q2 2026 Activity'!$B$2:$B$20,A37,'Q2 2026 Activity'!$H$2:$H$20)</x:f>
        <x:v>0</x:v>
      </x:c>
      <x:c r="E37" s="27" t="n">
        <x:f>B37</x:f>
        <x:v>14.3</x:v>
      </x:c>
      <x:c r="F37" s="27" t="n">
        <x:f>G37-E37</x:f>
        <x:v>0</x:v>
      </x:c>
      <x:c r="G37" s="27" t="n">
        <x:f>E37</x:f>
        <x:v>14.3</x:v>
      </x:c>
      <x:c r="H37" s="26" t="n">
        <x:f>'June 30 Target'!K37</x:f>
        <x:v>14.3</x:v>
      </x:c>
      <x:c r="I37" s="27" t="n">
        <x:f>G37-H37</x:f>
        <x:v>0</x:v>
      </x:c>
      <x:c r="J37" s="26" t="n">
        <x:f>'Portfolio'!I37</x:f>
        <x:v>10</x:v>
      </x:c>
      <x:c r="K37" s="27" t="n">
        <x:f>J37+C37</x:f>
        <x:v>10</x:v>
      </x:c>
      <x:c r="L37" s="26" t="n">
        <x:f>'June 30 Target'!I37</x:f>
        <x:v>10</x:v>
      </x:c>
      <x:c r="M37" s="27" t="n">
        <x:f>K37-L37</x:f>
        <x:v>0</x:v>
      </x:c>
      <x:c r="N37" s="26" t="n">
        <x:f>'Portfolio'!L37</x:f>
        <x:v>0</x:v>
      </x:c>
      <x:c r="O37" s="27" t="n">
        <x:f>N37+D37</x:f>
        <x:v>0</x:v>
      </x:c>
      <x:c r="P37" s="26" t="n">
        <x:f>'June 30 Target'!L37</x:f>
        <x:v>0</x:v>
      </x:c>
      <x:c r="Q37" s="27" t="n">
        <x:f>O37-P37</x:f>
        <x:v>0</x:v>
      </x:c>
      <x:c r="R37" s="27" t="n">
        <x:f>G37+D37-B37-C37</x:f>
        <x:v>0</x:v>
      </x:c>
      <x:c r="S37" s="7" t="str">
        <x:v>Carry; apply policy screening</x:v>
      </x:c>
    </x:row>
    <x:row r="38" ht="24" customHeight="1">
      <x:c r="A38" s="3" t="str">
        <x:v>Kestwick</x:v>
      </x:c>
      <x:c r="B38" s="24" t="n">
        <x:f>'Portfolio'!K38</x:f>
        <x:v>0.9</x:v>
      </x:c>
      <x:c r="C38" s="24" t="n">
        <x:f>SUMIF('Q2 2026 Activity'!$B$2:$B$20,A38,'Q2 2026 Activity'!$F$2:$F$20)</x:f>
        <x:v>0</x:v>
      </x:c>
      <x:c r="D38" s="24" t="n">
        <x:f>SUMIF('Q2 2026 Activity'!$B$2:$B$20,A38,'Q2 2026 Activity'!$H$2:$H$20)</x:f>
        <x:v>0</x:v>
      </x:c>
      <x:c r="E38" s="25" t="n">
        <x:f>B38</x:f>
        <x:v>0.9</x:v>
      </x:c>
      <x:c r="F38" s="25" t="n">
        <x:f>G38-E38</x:f>
        <x:v>0</x:v>
      </x:c>
      <x:c r="G38" s="25" t="n">
        <x:f>E38</x:f>
        <x:v>0.9</x:v>
      </x:c>
      <x:c r="H38" s="24" t="n">
        <x:f>'June 30 Target'!K38</x:f>
        <x:v>0.9</x:v>
      </x:c>
      <x:c r="I38" s="25" t="n">
        <x:f>G38-H38</x:f>
        <x:v>0</x:v>
      </x:c>
      <x:c r="J38" s="24" t="n">
        <x:f>'Portfolio'!I38</x:f>
        <x:v>1.1</x:v>
      </x:c>
      <x:c r="K38" s="25" t="n">
        <x:f>J38+C38</x:f>
        <x:v>1.1</x:v>
      </x:c>
      <x:c r="L38" s="24" t="n">
        <x:f>'June 30 Target'!I38</x:f>
        <x:v>1.1</x:v>
      </x:c>
      <x:c r="M38" s="25" t="n">
        <x:f>K38-L38</x:f>
        <x:v>0</x:v>
      </x:c>
      <x:c r="N38" s="24" t="n">
        <x:f>'Portfolio'!L38</x:f>
        <x:v>0</x:v>
      </x:c>
      <x:c r="O38" s="25" t="n">
        <x:f>N38+D38</x:f>
        <x:v>0</x:v>
      </x:c>
      <x:c r="P38" s="24" t="n">
        <x:f>'June 30 Target'!L38</x:f>
        <x:v>0</x:v>
      </x:c>
      <x:c r="Q38" s="25" t="n">
        <x:f>O38-P38</x:f>
        <x:v>0</x:v>
      </x:c>
      <x:c r="R38" s="25" t="n">
        <x:f>G38+D38-B38-C38</x:f>
        <x:v>0</x:v>
      </x:c>
      <x:c r="S38" s="3" t="str">
        <x:v>Carry; apply policy screening</x:v>
      </x:c>
    </x:row>
    <x:row r="39" ht="24" customHeight="1">
      <x:c r="A39" s="7" t="str">
        <x:v>Larkspell</x:v>
      </x:c>
      <x:c r="B39" s="26" t="n">
        <x:f>'Portfolio'!K39</x:f>
        <x:v>11.4</x:v>
      </x:c>
      <x:c r="C39" s="26" t="n">
        <x:f>SUMIF('Q2 2026 Activity'!$B$2:$B$20,A39,'Q2 2026 Activity'!$F$2:$F$20)</x:f>
        <x:v>0</x:v>
      </x:c>
      <x:c r="D39" s="26" t="n">
        <x:f>SUMIF('Q2 2026 Activity'!$B$2:$B$20,A39,'Q2 2026 Activity'!$H$2:$H$20)</x:f>
        <x:v>0</x:v>
      </x:c>
      <x:c r="E39" s="27" t="n">
        <x:f>B39</x:f>
        <x:v>11.4</x:v>
      </x:c>
      <x:c r="F39" s="27" t="n">
        <x:f>G39-E39</x:f>
        <x:v>0</x:v>
      </x:c>
      <x:c r="G39" s="27" t="n">
        <x:f>E39</x:f>
        <x:v>11.4</x:v>
      </x:c>
      <x:c r="H39" s="26" t="n">
        <x:f>'June 30 Target'!K39</x:f>
        <x:v>11.4</x:v>
      </x:c>
      <x:c r="I39" s="27" t="n">
        <x:f>G39-H39</x:f>
        <x:v>0</x:v>
      </x:c>
      <x:c r="J39" s="26" t="n">
        <x:f>'Portfolio'!I39</x:f>
        <x:v>6</x:v>
      </x:c>
      <x:c r="K39" s="27" t="n">
        <x:f>J39+C39</x:f>
        <x:v>6</x:v>
      </x:c>
      <x:c r="L39" s="26" t="n">
        <x:f>'June 30 Target'!I39</x:f>
        <x:v>6</x:v>
      </x:c>
      <x:c r="M39" s="27" t="n">
        <x:f>K39-L39</x:f>
        <x:v>0</x:v>
      </x:c>
      <x:c r="N39" s="26" t="n">
        <x:f>'Portfolio'!L39</x:f>
        <x:v>0</x:v>
      </x:c>
      <x:c r="O39" s="27" t="n">
        <x:f>N39+D39</x:f>
        <x:v>0</x:v>
      </x:c>
      <x:c r="P39" s="26" t="n">
        <x:f>'June 30 Target'!L39</x:f>
        <x:v>0</x:v>
      </x:c>
      <x:c r="Q39" s="27" t="n">
        <x:f>O39-P39</x:f>
        <x:v>0</x:v>
      </x:c>
      <x:c r="R39" s="27" t="n">
        <x:f>G39+D39-B39-C39</x:f>
        <x:v>0</x:v>
      </x:c>
      <x:c r="S39" s="7" t="str">
        <x:v>Carry; apply policy screening</x:v>
      </x:c>
    </x:row>
    <x:row r="40" ht="24" customHeight="1">
      <x:c r="A40" s="3" t="str">
        <x:v>Mossbriar Bio</x:v>
      </x:c>
      <x:c r="B40" s="24" t="n">
        <x:f>'Portfolio'!K40</x:f>
        <x:v>30.2</x:v>
      </x:c>
      <x:c r="C40" s="24" t="n">
        <x:f>SUMIF('Q2 2026 Activity'!$B$2:$B$20,A40,'Q2 2026 Activity'!$F$2:$F$20)</x:f>
        <x:v>0</x:v>
      </x:c>
      <x:c r="D40" s="24" t="n">
        <x:f>SUMIF('Q2 2026 Activity'!$B$2:$B$20,A40,'Q2 2026 Activity'!$H$2:$H$20)</x:f>
        <x:v>0</x:v>
      </x:c>
      <x:c r="E40" s="25" t="n">
        <x:f>B40</x:f>
        <x:v>30.2</x:v>
      </x:c>
      <x:c r="F40" s="25" t="n">
        <x:f>G40-E40</x:f>
        <x:v>0</x:v>
      </x:c>
      <x:c r="G40" s="25" t="n">
        <x:f>E40</x:f>
        <x:v>30.2</x:v>
      </x:c>
      <x:c r="H40" s="24" t="n">
        <x:f>'June 30 Target'!K40</x:f>
        <x:v>30.2</x:v>
      </x:c>
      <x:c r="I40" s="25" t="n">
        <x:f>G40-H40</x:f>
        <x:v>0</x:v>
      </x:c>
      <x:c r="J40" s="24" t="n">
        <x:f>'Portfolio'!I40</x:f>
        <x:v>16</x:v>
      </x:c>
      <x:c r="K40" s="25" t="n">
        <x:f>J40+C40</x:f>
        <x:v>16</x:v>
      </x:c>
      <x:c r="L40" s="24" t="n">
        <x:f>'June 30 Target'!I40</x:f>
        <x:v>16</x:v>
      </x:c>
      <x:c r="M40" s="25" t="n">
        <x:f>K40-L40</x:f>
        <x:v>0</x:v>
      </x:c>
      <x:c r="N40" s="24" t="n">
        <x:f>'Portfolio'!L40</x:f>
        <x:v>0</x:v>
      </x:c>
      <x:c r="O40" s="25" t="n">
        <x:f>N40+D40</x:f>
        <x:v>0</x:v>
      </x:c>
      <x:c r="P40" s="24" t="n">
        <x:f>'June 30 Target'!L40</x:f>
        <x:v>0</x:v>
      </x:c>
      <x:c r="Q40" s="25" t="n">
        <x:f>O40-P40</x:f>
        <x:v>0</x:v>
      </x:c>
      <x:c r="R40" s="25" t="n">
        <x:f>G40+D40-B40-C40</x:f>
        <x:v>0</x:v>
      </x:c>
      <x:c r="S40" s="3" t="str">
        <x:v>Carry; apply policy screening</x:v>
      </x:c>
    </x:row>
    <x:row r="41" ht="24" customHeight="1">
      <x:c r="A41" s="7" t="str">
        <x:v>Nightloom Security</x:v>
      </x:c>
      <x:c r="B41" s="26" t="n">
        <x:f>'Portfolio'!K41</x:f>
        <x:v>0.8</x:v>
      </x:c>
      <x:c r="C41" s="26" t="n">
        <x:f>SUMIF('Q2 2026 Activity'!$B$2:$B$20,A41,'Q2 2026 Activity'!$F$2:$F$20)</x:f>
        <x:v>0</x:v>
      </x:c>
      <x:c r="D41" s="26" t="n">
        <x:f>SUMIF('Q2 2026 Activity'!$B$2:$B$20,A41,'Q2 2026 Activity'!$H$2:$H$20)</x:f>
        <x:v>0</x:v>
      </x:c>
      <x:c r="E41" s="27" t="n">
        <x:f>B41</x:f>
        <x:v>0.8</x:v>
      </x:c>
      <x:c r="F41" s="27" t="n">
        <x:f>G41-E41</x:f>
        <x:v>0</x:v>
      </x:c>
      <x:c r="G41" s="27" t="n">
        <x:f>E41</x:f>
        <x:v>0.8</x:v>
      </x:c>
      <x:c r="H41" s="26" t="n">
        <x:f>'June 30 Target'!K41</x:f>
        <x:v>0.8</x:v>
      </x:c>
      <x:c r="I41" s="27" t="n">
        <x:f>G41-H41</x:f>
        <x:v>0</x:v>
      </x:c>
      <x:c r="J41" s="26" t="n">
        <x:f>'Portfolio'!I41</x:f>
        <x:v>1.1</x:v>
      </x:c>
      <x:c r="K41" s="27" t="n">
        <x:f>J41+C41</x:f>
        <x:v>1.1</x:v>
      </x:c>
      <x:c r="L41" s="26" t="n">
        <x:f>'June 30 Target'!I41</x:f>
        <x:v>1.1</x:v>
      </x:c>
      <x:c r="M41" s="27" t="n">
        <x:f>K41-L41</x:f>
        <x:v>0</x:v>
      </x:c>
      <x:c r="N41" s="26" t="n">
        <x:f>'Portfolio'!L41</x:f>
        <x:v>0</x:v>
      </x:c>
      <x:c r="O41" s="27" t="n">
        <x:f>N41+D41</x:f>
        <x:v>0</x:v>
      </x:c>
      <x:c r="P41" s="26" t="n">
        <x:f>'June 30 Target'!L41</x:f>
        <x:v>0</x:v>
      </x:c>
      <x:c r="Q41" s="27" t="n">
        <x:f>O41-P41</x:f>
        <x:v>0</x:v>
      </x:c>
      <x:c r="R41" s="27" t="n">
        <x:f>G41+D41-B41-C41</x:f>
        <x:v>0</x:v>
      </x:c>
      <x:c r="S41" s="7" t="str">
        <x:v>Carry; apply policy screening</x:v>
      </x:c>
    </x:row>
    <x:row r="42" ht="24" customHeight="1">
      <x:c r="A42" s="3" t="str">
        <x:v>Oakenvale</x:v>
      </x:c>
      <x:c r="B42" s="24" t="n">
        <x:f>'Portfolio'!K42</x:f>
        <x:v>5.7</x:v>
      </x:c>
      <x:c r="C42" s="24" t="n">
        <x:f>SUMIF('Q2 2026 Activity'!$B$2:$B$20,A42,'Q2 2026 Activity'!$F$2:$F$20)</x:f>
        <x:v>0</x:v>
      </x:c>
      <x:c r="D42" s="24" t="n">
        <x:f>SUMIF('Q2 2026 Activity'!$B$2:$B$20,A42,'Q2 2026 Activity'!$H$2:$H$20)</x:f>
        <x:v>0</x:v>
      </x:c>
      <x:c r="E42" s="25" t="n">
        <x:f>B42</x:f>
        <x:v>5.7</x:v>
      </x:c>
      <x:c r="F42" s="25" t="n">
        <x:f>G42-E42</x:f>
        <x:v>0</x:v>
      </x:c>
      <x:c r="G42" s="25" t="n">
        <x:f>E42</x:f>
        <x:v>5.7</x:v>
      </x:c>
      <x:c r="H42" s="24" t="n">
        <x:f>'June 30 Target'!K42</x:f>
        <x:v>5.7</x:v>
      </x:c>
      <x:c r="I42" s="25" t="n">
        <x:f>G42-H42</x:f>
        <x:v>0</x:v>
      </x:c>
      <x:c r="J42" s="24" t="n">
        <x:f>'Portfolio'!I42</x:f>
        <x:v>5.9</x:v>
      </x:c>
      <x:c r="K42" s="25" t="n">
        <x:f>J42+C42</x:f>
        <x:v>5.9</x:v>
      </x:c>
      <x:c r="L42" s="24" t="n">
        <x:f>'June 30 Target'!I42</x:f>
        <x:v>5.9</x:v>
      </x:c>
      <x:c r="M42" s="25" t="n">
        <x:f>K42-L42</x:f>
        <x:v>0</x:v>
      </x:c>
      <x:c r="N42" s="24" t="n">
        <x:f>'Portfolio'!L42</x:f>
        <x:v>0</x:v>
      </x:c>
      <x:c r="O42" s="25" t="n">
        <x:f>N42+D42</x:f>
        <x:v>0</x:v>
      </x:c>
      <x:c r="P42" s="24" t="n">
        <x:f>'June 30 Target'!L42</x:f>
        <x:v>0</x:v>
      </x:c>
      <x:c r="Q42" s="25" t="n">
        <x:f>O42-P42</x:f>
        <x:v>0</x:v>
      </x:c>
      <x:c r="R42" s="25" t="n">
        <x:f>G42+D42-B42-C42</x:f>
        <x:v>0</x:v>
      </x:c>
      <x:c r="S42" s="3" t="str">
        <x:v>Carry; apply policy screening</x:v>
      </x:c>
    </x:row>
    <x:row r="43" ht="24" customHeight="1">
      <x:c r="A43" s="7" t="str">
        <x:v>Pinwhistle</x:v>
      </x:c>
      <x:c r="B43" s="26" t="n">
        <x:f>'Portfolio'!K43</x:f>
        <x:v>7.3</x:v>
      </x:c>
      <x:c r="C43" s="26" t="n">
        <x:f>SUMIF('Q2 2026 Activity'!$B$2:$B$20,A43,'Q2 2026 Activity'!$F$2:$F$20)</x:f>
        <x:v>0</x:v>
      </x:c>
      <x:c r="D43" s="26" t="n">
        <x:f>SUMIF('Q2 2026 Activity'!$B$2:$B$20,A43,'Q2 2026 Activity'!$H$2:$H$20)</x:f>
        <x:v>0</x:v>
      </x:c>
      <x:c r="E43" s="27" t="n">
        <x:f>B43</x:f>
        <x:v>7.3</x:v>
      </x:c>
      <x:c r="F43" s="27" t="n">
        <x:f>G43-E43</x:f>
        <x:v>0</x:v>
      </x:c>
      <x:c r="G43" s="27" t="n">
        <x:f>E43</x:f>
        <x:v>7.3</x:v>
      </x:c>
      <x:c r="H43" s="26" t="n">
        <x:f>'June 30 Target'!K43</x:f>
        <x:v>7.3</x:v>
      </x:c>
      <x:c r="I43" s="27" t="n">
        <x:f>G43-H43</x:f>
        <x:v>0</x:v>
      </x:c>
      <x:c r="J43" s="26" t="n">
        <x:f>'Portfolio'!I43</x:f>
        <x:v>6</x:v>
      </x:c>
      <x:c r="K43" s="27" t="n">
        <x:f>J43+C43</x:f>
        <x:v>6</x:v>
      </x:c>
      <x:c r="L43" s="26" t="n">
        <x:f>'June 30 Target'!I43</x:f>
        <x:v>6</x:v>
      </x:c>
      <x:c r="M43" s="27" t="n">
        <x:f>K43-L43</x:f>
        <x:v>0</x:v>
      </x:c>
      <x:c r="N43" s="26" t="n">
        <x:f>'Portfolio'!L43</x:f>
        <x:v>0</x:v>
      </x:c>
      <x:c r="O43" s="27" t="n">
        <x:f>N43+D43</x:f>
        <x:v>0</x:v>
      </x:c>
      <x:c r="P43" s="26" t="n">
        <x:f>'June 30 Target'!L43</x:f>
        <x:v>0</x:v>
      </x:c>
      <x:c r="Q43" s="27" t="n">
        <x:f>O43-P43</x:f>
        <x:v>0</x:v>
      </x:c>
      <x:c r="R43" s="27" t="n">
        <x:f>G43+D43-B43-C43</x:f>
        <x:v>0</x:v>
      </x:c>
      <x:c r="S43" s="7" t="str">
        <x:v>Carry; apply policy screening</x:v>
      </x:c>
    </x:row>
    <x:row r="44" ht="24" customHeight="1">
      <x:c r="A44" s="3" t="str">
        <x:v>Quarrystone AI</x:v>
      </x:c>
      <x:c r="B44" s="24" t="n">
        <x:f>'Portfolio'!K44</x:f>
        <x:v>1.6</x:v>
      </x:c>
      <x:c r="C44" s="24" t="n">
        <x:f>SUMIF('Q2 2026 Activity'!$B$2:$B$20,A44,'Q2 2026 Activity'!$F$2:$F$20)</x:f>
        <x:v>0</x:v>
      </x:c>
      <x:c r="D44" s="24" t="n">
        <x:f>SUMIF('Q2 2026 Activity'!$B$2:$B$20,A44,'Q2 2026 Activity'!$H$2:$H$20)</x:f>
        <x:v>0</x:v>
      </x:c>
      <x:c r="E44" s="25" t="n">
        <x:f>B44</x:f>
        <x:v>1.6</x:v>
      </x:c>
      <x:c r="F44" s="25" t="n">
        <x:f>G44-E44</x:f>
        <x:v>0</x:v>
      </x:c>
      <x:c r="G44" s="25" t="n">
        <x:f>E44</x:f>
        <x:v>1.6</x:v>
      </x:c>
      <x:c r="H44" s="24" t="n">
        <x:f>'June 30 Target'!K44</x:f>
        <x:v>1.6</x:v>
      </x:c>
      <x:c r="I44" s="25" t="n">
        <x:f>G44-H44</x:f>
        <x:v>0</x:v>
      </x:c>
      <x:c r="J44" s="24" t="n">
        <x:f>'Portfolio'!I44</x:f>
        <x:v>1.8</x:v>
      </x:c>
      <x:c r="K44" s="25" t="n">
        <x:f>J44+C44</x:f>
        <x:v>1.8</x:v>
      </x:c>
      <x:c r="L44" s="24" t="n">
        <x:f>'June 30 Target'!I44</x:f>
        <x:v>1.8</x:v>
      </x:c>
      <x:c r="M44" s="25" t="n">
        <x:f>K44-L44</x:f>
        <x:v>0</x:v>
      </x:c>
      <x:c r="N44" s="24" t="n">
        <x:f>'Portfolio'!L44</x:f>
        <x:v>0</x:v>
      </x:c>
      <x:c r="O44" s="25" t="n">
        <x:f>N44+D44</x:f>
        <x:v>0</x:v>
      </x:c>
      <x:c r="P44" s="24" t="n">
        <x:f>'June 30 Target'!L44</x:f>
        <x:v>0</x:v>
      </x:c>
      <x:c r="Q44" s="25" t="n">
        <x:f>O44-P44</x:f>
        <x:v>0</x:v>
      </x:c>
      <x:c r="R44" s="25" t="n">
        <x:f>G44+D44-B44-C44</x:f>
        <x:v>0</x:v>
      </x:c>
      <x:c r="S44" s="3" t="str">
        <x:v>Carry; apply policy screening</x:v>
      </x:c>
    </x:row>
    <x:row r="45" ht="24" customHeight="1">
      <x:c r="A45" s="7" t="str">
        <x:v>Redgrove Health</x:v>
      </x:c>
      <x:c r="B45" s="26" t="n">
        <x:f>'Portfolio'!K45</x:f>
        <x:v>2.2</x:v>
      </x:c>
      <x:c r="C45" s="26" t="n">
        <x:f>SUMIF('Q2 2026 Activity'!$B$2:$B$20,A45,'Q2 2026 Activity'!$F$2:$F$20)</x:f>
        <x:v>0</x:v>
      </x:c>
      <x:c r="D45" s="26" t="n">
        <x:f>SUMIF('Q2 2026 Activity'!$B$2:$B$20,A45,'Q2 2026 Activity'!$H$2:$H$20)</x:f>
        <x:v>0</x:v>
      </x:c>
      <x:c r="E45" s="27" t="n">
        <x:f>B45</x:f>
        <x:v>2.2</x:v>
      </x:c>
      <x:c r="F45" s="27" t="n">
        <x:f>G45-E45</x:f>
        <x:v>0</x:v>
      </x:c>
      <x:c r="G45" s="27" t="n">
        <x:f>E45</x:f>
        <x:v>2.2</x:v>
      </x:c>
      <x:c r="H45" s="26" t="n">
        <x:f>'June 30 Target'!K45</x:f>
        <x:v>2.2</x:v>
      </x:c>
      <x:c r="I45" s="27" t="n">
        <x:f>G45-H45</x:f>
        <x:v>0</x:v>
      </x:c>
      <x:c r="J45" s="26" t="n">
        <x:f>'Portfolio'!I45</x:f>
        <x:v>3.9</x:v>
      </x:c>
      <x:c r="K45" s="27" t="n">
        <x:f>J45+C45</x:f>
        <x:v>3.9</x:v>
      </x:c>
      <x:c r="L45" s="26" t="n">
        <x:f>'June 30 Target'!I45</x:f>
        <x:v>3.9</x:v>
      </x:c>
      <x:c r="M45" s="27" t="n">
        <x:f>K45-L45</x:f>
        <x:v>0</x:v>
      </x:c>
      <x:c r="N45" s="26" t="n">
        <x:f>'Portfolio'!L45</x:f>
        <x:v>0</x:v>
      </x:c>
      <x:c r="O45" s="27" t="n">
        <x:f>N45+D45</x:f>
        <x:v>0</x:v>
      </x:c>
      <x:c r="P45" s="26" t="n">
        <x:f>'June 30 Target'!L45</x:f>
        <x:v>0</x:v>
      </x:c>
      <x:c r="Q45" s="27" t="n">
        <x:f>O45-P45</x:f>
        <x:v>0</x:v>
      </x:c>
      <x:c r="R45" s="27" t="n">
        <x:f>G45+D45-B45-C45</x:f>
        <x:v>0</x:v>
      </x:c>
      <x:c r="S45" s="7" t="str">
        <x:v>Carry; apply policy screening</x:v>
      </x:c>
    </x:row>
    <x:row r="46" ht="24" customHeight="1">
      <x:c r="A46" s="3" t="str">
        <x:v>Saltmarsh Analytics</x:v>
      </x:c>
      <x:c r="B46" s="24" t="n">
        <x:f>'Portfolio'!K46</x:f>
        <x:v>4.5</x:v>
      </x:c>
      <x:c r="C46" s="24" t="n">
        <x:f>SUMIF('Q2 2026 Activity'!$B$2:$B$20,A46,'Q2 2026 Activity'!$F$2:$F$20)</x:f>
        <x:v>1</x:v>
      </x:c>
      <x:c r="D46" s="24" t="n">
        <x:f>SUMIF('Q2 2026 Activity'!$B$2:$B$20,A46,'Q2 2026 Activity'!$H$2:$H$20)</x:f>
        <x:v>0</x:v>
      </x:c>
      <x:c r="E46" s="24" t="n">
        <x:f>'Q2 2026 Activity'!E10*'Q2 2026 Activity'!G10</x:f>
        <x:v>5.4374</x:v>
      </x:c>
      <x:c r="F46" s="25" t="n">
        <x:f>G46-E46</x:f>
        <x:v>-0.03739999999999988</x:v>
      </x:c>
      <x:c r="G46" s="25" t="n">
        <x:f>ROUND(E46,1)</x:f>
        <x:v>5.4</x:v>
      </x:c>
      <x:c r="H46" s="24" t="n">
        <x:f>'June 30 Target'!K46</x:f>
        <x:v>5.4</x:v>
      </x:c>
      <x:c r="I46" s="25" t="n">
        <x:f>G46-H46</x:f>
        <x:v>0</x:v>
      </x:c>
      <x:c r="J46" s="24" t="n">
        <x:f>'Portfolio'!I46</x:f>
        <x:v>4.8</x:v>
      </x:c>
      <x:c r="K46" s="25" t="n">
        <x:f>J46+C46</x:f>
        <x:v>5.8</x:v>
      </x:c>
      <x:c r="L46" s="24" t="n">
        <x:f>'June 30 Target'!I46</x:f>
        <x:v>5.8</x:v>
      </x:c>
      <x:c r="M46" s="25" t="n">
        <x:f>K46-L46</x:f>
        <x:v>0</x:v>
      </x:c>
      <x:c r="N46" s="24" t="n">
        <x:f>'Portfolio'!L46</x:f>
        <x:v>0</x:v>
      </x:c>
      <x:c r="O46" s="25" t="n">
        <x:f>N46+D46</x:f>
        <x:v>0</x:v>
      </x:c>
      <x:c r="P46" s="24" t="n">
        <x:f>'June 30 Target'!L46</x:f>
        <x:v>0</x:v>
      </x:c>
      <x:c r="Q46" s="25" t="n">
        <x:f>O46-P46</x:f>
        <x:v>0</x:v>
      </x:c>
      <x:c r="R46" s="25" t="n">
        <x:f>G46+D46-B46-C46</x:f>
        <x:v>-0.09999999999999964</x:v>
      </x:c>
      <x:c r="S46" s="3" t="str">
        <x:v>Follow-on below pro rata</x:v>
      </x:c>
    </x:row>
    <x:row r="47" ht="24" customHeight="1">
      <x:c r="A47" s="7" t="str">
        <x:v>Thistledown Energy</x:v>
      </x:c>
      <x:c r="B47" s="26" t="n">
        <x:f>'Portfolio'!K47</x:f>
        <x:v>1.2</x:v>
      </x:c>
      <x:c r="C47" s="26" t="n">
        <x:f>SUMIF('Q2 2026 Activity'!$B$2:$B$20,A47,'Q2 2026 Activity'!$F$2:$F$20)</x:f>
        <x:v>0</x:v>
      </x:c>
      <x:c r="D47" s="26" t="n">
        <x:f>SUMIF('Q2 2026 Activity'!$B$2:$B$20,A47,'Q2 2026 Activity'!$H$2:$H$20)</x:f>
        <x:v>0</x:v>
      </x:c>
      <x:c r="E47" s="27" t="n">
        <x:f>B47</x:f>
        <x:v>1.2</x:v>
      </x:c>
      <x:c r="F47" s="27" t="n">
        <x:f>G47-E47</x:f>
        <x:v>0</x:v>
      </x:c>
      <x:c r="G47" s="27" t="n">
        <x:f>E47</x:f>
        <x:v>1.2</x:v>
      </x:c>
      <x:c r="H47" s="26" t="n">
        <x:f>'June 30 Target'!K47</x:f>
        <x:v>1.2</x:v>
      </x:c>
      <x:c r="I47" s="27" t="n">
        <x:f>G47-H47</x:f>
        <x:v>0</x:v>
      </x:c>
      <x:c r="J47" s="26" t="n">
        <x:f>'Portfolio'!I47</x:f>
        <x:v>1</x:v>
      </x:c>
      <x:c r="K47" s="27" t="n">
        <x:f>J47+C47</x:f>
        <x:v>1</x:v>
      </x:c>
      <x:c r="L47" s="26" t="n">
        <x:f>'June 30 Target'!I47</x:f>
        <x:v>1</x:v>
      </x:c>
      <x:c r="M47" s="27" t="n">
        <x:f>K47-L47</x:f>
        <x:v>0</x:v>
      </x:c>
      <x:c r="N47" s="26" t="n">
        <x:f>'Portfolio'!L47</x:f>
        <x:v>0</x:v>
      </x:c>
      <x:c r="O47" s="27" t="n">
        <x:f>N47+D47</x:f>
        <x:v>0</x:v>
      </x:c>
      <x:c r="P47" s="26" t="n">
        <x:f>'June 30 Target'!L47</x:f>
        <x:v>0</x:v>
      </x:c>
      <x:c r="Q47" s="27" t="n">
        <x:f>O47-P47</x:f>
        <x:v>0</x:v>
      </x:c>
      <x:c r="R47" s="27" t="n">
        <x:f>G47+D47-B47-C47</x:f>
        <x:v>0</x:v>
      </x:c>
      <x:c r="S47" s="7" t="str">
        <x:v>Carry; apply policy screening</x:v>
      </x:c>
    </x:row>
    <x:row r="48" ht="24" customHeight="1">
      <x:c r="A48" s="3" t="str">
        <x:v>Underbough</x:v>
      </x:c>
      <x:c r="B48" s="24" t="n">
        <x:f>'Portfolio'!K48</x:f>
        <x:v>1</x:v>
      </x:c>
      <x:c r="C48" s="24" t="n">
        <x:f>SUMIF('Q2 2026 Activity'!$B$2:$B$20,A48,'Q2 2026 Activity'!$F$2:$F$20)</x:f>
        <x:v>0</x:v>
      </x:c>
      <x:c r="D48" s="24" t="n">
        <x:f>SUMIF('Q2 2026 Activity'!$B$2:$B$20,A48,'Q2 2026 Activity'!$H$2:$H$20)</x:f>
        <x:v>0</x:v>
      </x:c>
      <x:c r="E48" s="25" t="n">
        <x:f>B48</x:f>
        <x:v>1</x:v>
      </x:c>
      <x:c r="F48" s="25" t="n">
        <x:f>G48-E48</x:f>
        <x:v>0</x:v>
      </x:c>
      <x:c r="G48" s="25" t="n">
        <x:f>E48</x:f>
        <x:v>1</x:v>
      </x:c>
      <x:c r="H48" s="24" t="n">
        <x:f>'June 30 Target'!K48</x:f>
        <x:v>1</x:v>
      </x:c>
      <x:c r="I48" s="25" t="n">
        <x:f>G48-H48</x:f>
        <x:v>0</x:v>
      </x:c>
      <x:c r="J48" s="24" t="n">
        <x:f>'Portfolio'!I48</x:f>
        <x:v>1.8</x:v>
      </x:c>
      <x:c r="K48" s="25" t="n">
        <x:f>J48+C48</x:f>
        <x:v>1.8</x:v>
      </x:c>
      <x:c r="L48" s="24" t="n">
        <x:f>'June 30 Target'!I48</x:f>
        <x:v>1.8</x:v>
      </x:c>
      <x:c r="M48" s="25" t="n">
        <x:f>K48-L48</x:f>
        <x:v>0</x:v>
      </x:c>
      <x:c r="N48" s="24" t="n">
        <x:f>'Portfolio'!L48</x:f>
        <x:v>0</x:v>
      </x:c>
      <x:c r="O48" s="25" t="n">
        <x:f>N48+D48</x:f>
        <x:v>0</x:v>
      </x:c>
      <x:c r="P48" s="24" t="n">
        <x:f>'June 30 Target'!L48</x:f>
        <x:v>0</x:v>
      </x:c>
      <x:c r="Q48" s="25" t="n">
        <x:f>O48-P48</x:f>
        <x:v>0</x:v>
      </x:c>
      <x:c r="R48" s="25" t="n">
        <x:f>G48+D48-B48-C48</x:f>
        <x:v>0</x:v>
      </x:c>
      <x:c r="S48" s="3" t="str">
        <x:v>Carry; apply policy screening</x:v>
      </x:c>
    </x:row>
    <x:row r="49" ht="24" customHeight="1">
      <x:c r="A49" s="7" t="str">
        <x:v>Vellichor Systems</x:v>
      </x:c>
      <x:c r="B49" s="26" t="n">
        <x:f>'Portfolio'!K49</x:f>
        <x:v>11.8</x:v>
      </x:c>
      <x:c r="C49" s="26" t="n">
        <x:f>SUMIF('Q2 2026 Activity'!$B$2:$B$20,A49,'Q2 2026 Activity'!$F$2:$F$20)</x:f>
        <x:v>0</x:v>
      </x:c>
      <x:c r="D49" s="26" t="n">
        <x:f>SUMIF('Q2 2026 Activity'!$B$2:$B$20,A49,'Q2 2026 Activity'!$H$2:$H$20)</x:f>
        <x:v>0</x:v>
      </x:c>
      <x:c r="E49" s="27" t="n">
        <x:f>B49</x:f>
        <x:v>11.8</x:v>
      </x:c>
      <x:c r="F49" s="27" t="n">
        <x:f>G49-E49</x:f>
        <x:v>0</x:v>
      </x:c>
      <x:c r="G49" s="27" t="n">
        <x:f>E49</x:f>
        <x:v>11.8</x:v>
      </x:c>
      <x:c r="H49" s="26" t="n">
        <x:f>'June 30 Target'!K49</x:f>
        <x:v>11.8</x:v>
      </x:c>
      <x:c r="I49" s="27" t="n">
        <x:f>G49-H49</x:f>
        <x:v>0</x:v>
      </x:c>
      <x:c r="J49" s="26" t="n">
        <x:f>'Portfolio'!I49</x:f>
        <x:v>6</x:v>
      </x:c>
      <x:c r="K49" s="27" t="n">
        <x:f>J49+C49</x:f>
        <x:v>6</x:v>
      </x:c>
      <x:c r="L49" s="26" t="n">
        <x:f>'June 30 Target'!I49</x:f>
        <x:v>6</x:v>
      </x:c>
      <x:c r="M49" s="27" t="n">
        <x:f>K49-L49</x:f>
        <x:v>0</x:v>
      </x:c>
      <x:c r="N49" s="26" t="n">
        <x:f>'Portfolio'!L49</x:f>
        <x:v>0</x:v>
      </x:c>
      <x:c r="O49" s="27" t="n">
        <x:f>N49+D49</x:f>
        <x:v>0</x:v>
      </x:c>
      <x:c r="P49" s="26" t="n">
        <x:f>'June 30 Target'!L49</x:f>
        <x:v>0</x:v>
      </x:c>
      <x:c r="Q49" s="27" t="n">
        <x:f>O49-P49</x:f>
        <x:v>0</x:v>
      </x:c>
      <x:c r="R49" s="27" t="n">
        <x:f>G49+D49-B49-C49</x:f>
        <x:v>0</x:v>
      </x:c>
      <x:c r="S49" s="7" t="str">
        <x:v>Carry; apply policy screening</x:v>
      </x:c>
    </x:row>
    <x:row r="50" ht="24" customHeight="1">
      <x:c r="A50" s="3" t="str">
        <x:v>Westwilder</x:v>
      </x:c>
      <x:c r="B50" s="24" t="n">
        <x:f>'Portfolio'!K50</x:f>
        <x:v>20.6</x:v>
      </x:c>
      <x:c r="C50" s="24" t="n">
        <x:f>SUMIF('Q2 2026 Activity'!$B$2:$B$20,A50,'Q2 2026 Activity'!$F$2:$F$20)</x:f>
        <x:v>0</x:v>
      </x:c>
      <x:c r="D50" s="24" t="n">
        <x:f>SUMIF('Q2 2026 Activity'!$B$2:$B$20,A50,'Q2 2026 Activity'!$H$2:$H$20)</x:f>
        <x:v>0</x:v>
      </x:c>
      <x:c r="E50" s="25" t="n">
        <x:f>B50</x:f>
        <x:v>20.6</x:v>
      </x:c>
      <x:c r="F50" s="25" t="n">
        <x:f>G50-E50</x:f>
        <x:v>0</x:v>
      </x:c>
      <x:c r="G50" s="25" t="n">
        <x:f>E50</x:f>
        <x:v>20.6</x:v>
      </x:c>
      <x:c r="H50" s="24" t="n">
        <x:f>'June 30 Target'!K50</x:f>
        <x:v>20.6</x:v>
      </x:c>
      <x:c r="I50" s="25" t="n">
        <x:f>G50-H50</x:f>
        <x:v>0</x:v>
      </x:c>
      <x:c r="J50" s="24" t="n">
        <x:f>'Portfolio'!I50</x:f>
        <x:v>20</x:v>
      </x:c>
      <x:c r="K50" s="25" t="n">
        <x:f>J50+C50</x:f>
        <x:v>20</x:v>
      </x:c>
      <x:c r="L50" s="24" t="n">
        <x:f>'June 30 Target'!I50</x:f>
        <x:v>20</x:v>
      </x:c>
      <x:c r="M50" s="25" t="n">
        <x:f>K50-L50</x:f>
        <x:v>0</x:v>
      </x:c>
      <x:c r="N50" s="24" t="n">
        <x:f>'Portfolio'!L50</x:f>
        <x:v>0</x:v>
      </x:c>
      <x:c r="O50" s="25" t="n">
        <x:f>N50+D50</x:f>
        <x:v>0</x:v>
      </x:c>
      <x:c r="P50" s="24" t="n">
        <x:f>'June 30 Target'!L50</x:f>
        <x:v>0</x:v>
      </x:c>
      <x:c r="Q50" s="25" t="n">
        <x:f>O50-P50</x:f>
        <x:v>0</x:v>
      </x:c>
      <x:c r="R50" s="25" t="n">
        <x:f>G50+D50-B50-C50</x:f>
        <x:v>0</x:v>
      </x:c>
      <x:c r="S50" s="3" t="str">
        <x:v>Carry; apply policy screening</x:v>
      </x:c>
    </x:row>
    <x:row r="51" ht="24" customHeight="1">
      <x:c r="A51" s="7" t="str">
        <x:v>Yarrowbank</x:v>
      </x:c>
      <x:c r="B51" s="26" t="n">
        <x:f>'Portfolio'!K51</x:f>
        <x:v>0.6</x:v>
      </x:c>
      <x:c r="C51" s="26" t="n">
        <x:f>SUMIF('Q2 2026 Activity'!$B$2:$B$20,A51,'Q2 2026 Activity'!$F$2:$F$20)</x:f>
        <x:v>0</x:v>
      </x:c>
      <x:c r="D51" s="26" t="n">
        <x:f>SUMIF('Q2 2026 Activity'!$B$2:$B$20,A51,'Q2 2026 Activity'!$H$2:$H$20)</x:f>
        <x:v>0</x:v>
      </x:c>
      <x:c r="E51" s="27" t="n">
        <x:f>B51</x:f>
        <x:v>0.6</x:v>
      </x:c>
      <x:c r="F51" s="27" t="n">
        <x:f>G51-E51</x:f>
        <x:v>0</x:v>
      </x:c>
      <x:c r="G51" s="27" t="n">
        <x:f>E51</x:f>
        <x:v>0.6</x:v>
      </x:c>
      <x:c r="H51" s="26" t="n">
        <x:f>'June 30 Target'!K51</x:f>
        <x:v>0.6</x:v>
      </x:c>
      <x:c r="I51" s="27" t="n">
        <x:f>G51-H51</x:f>
        <x:v>0</x:v>
      </x:c>
      <x:c r="J51" s="26" t="n">
        <x:f>'Portfolio'!I51</x:f>
        <x:v>2</x:v>
      </x:c>
      <x:c r="K51" s="27" t="n">
        <x:f>J51+C51</x:f>
        <x:v>2</x:v>
      </x:c>
      <x:c r="L51" s="26" t="n">
        <x:f>'June 30 Target'!I51</x:f>
        <x:v>2</x:v>
      </x:c>
      <x:c r="M51" s="27" t="n">
        <x:f>K51-L51</x:f>
        <x:v>0</x:v>
      </x:c>
      <x:c r="N51" s="26" t="n">
        <x:f>'Portfolio'!L51</x:f>
        <x:v>0</x:v>
      </x:c>
      <x:c r="O51" s="27" t="n">
        <x:f>N51+D51</x:f>
        <x:v>0</x:v>
      </x:c>
      <x:c r="P51" s="26" t="n">
        <x:f>'June 30 Target'!L51</x:f>
        <x:v>0</x:v>
      </x:c>
      <x:c r="Q51" s="27" t="n">
        <x:f>O51-P51</x:f>
        <x:v>0</x:v>
      </x:c>
      <x:c r="R51" s="27" t="n">
        <x:f>G51+D51-B51-C51</x:f>
        <x:v>0</x:v>
      </x:c>
      <x:c r="S51" s="7" t="str">
        <x:v>Carry; apply policy screening</x:v>
      </x:c>
    </x:row>
    <x:row r="52" ht="24" customHeight="1">
      <x:c r="A52" s="3" t="str">
        <x:v>Zinniafold</x:v>
      </x:c>
      <x:c r="B52" s="24" t="n">
        <x:f>'Portfolio'!K52</x:f>
        <x:v>3.7</x:v>
      </x:c>
      <x:c r="C52" s="24" t="n">
        <x:f>SUMIF('Q2 2026 Activity'!$B$2:$B$20,A52,'Q2 2026 Activity'!$F$2:$F$20)</x:f>
        <x:v>0</x:v>
      </x:c>
      <x:c r="D52" s="24" t="n">
        <x:f>SUMIF('Q2 2026 Activity'!$B$2:$B$20,A52,'Q2 2026 Activity'!$H$2:$H$20)</x:f>
        <x:v>0</x:v>
      </x:c>
      <x:c r="E52" s="25" t="n">
        <x:f>B52</x:f>
        <x:v>3.7</x:v>
      </x:c>
      <x:c r="F52" s="25" t="n">
        <x:f>G52-E52</x:f>
        <x:v>0</x:v>
      </x:c>
      <x:c r="G52" s="25" t="n">
        <x:f>E52</x:f>
        <x:v>3.7</x:v>
      </x:c>
      <x:c r="H52" s="24" t="n">
        <x:f>'June 30 Target'!K52</x:f>
        <x:v>3.7</x:v>
      </x:c>
      <x:c r="I52" s="25" t="n">
        <x:f>G52-H52</x:f>
        <x:v>0</x:v>
      </x:c>
      <x:c r="J52" s="24" t="n">
        <x:f>'Portfolio'!I52</x:f>
        <x:v>5.2</x:v>
      </x:c>
      <x:c r="K52" s="25" t="n">
        <x:f>J52+C52</x:f>
        <x:v>5.2</x:v>
      </x:c>
      <x:c r="L52" s="24" t="n">
        <x:f>'June 30 Target'!I52</x:f>
        <x:v>5.2</x:v>
      </x:c>
      <x:c r="M52" s="25" t="n">
        <x:f>K52-L52</x:f>
        <x:v>0</x:v>
      </x:c>
      <x:c r="N52" s="24" t="n">
        <x:f>'Portfolio'!L52</x:f>
        <x:v>0</x:v>
      </x:c>
      <x:c r="O52" s="25" t="n">
        <x:f>N52+D52</x:f>
        <x:v>0</x:v>
      </x:c>
      <x:c r="P52" s="24" t="n">
        <x:f>'June 30 Target'!L52</x:f>
        <x:v>0</x:v>
      </x:c>
      <x:c r="Q52" s="25" t="n">
        <x:f>O52-P52</x:f>
        <x:v>0</x:v>
      </x:c>
      <x:c r="R52" s="25" t="n">
        <x:f>G52+D52-B52-C52</x:f>
        <x:v>0</x:v>
      </x:c>
      <x:c r="S52" s="3" t="str">
        <x:v>Carry; apply policy screening</x:v>
      </x:c>
    </x:row>
    <x:row r="53" ht="24" customHeight="1">
      <x:c r="A53" s="7" t="str">
        <x:v>Ambercrest</x:v>
      </x:c>
      <x:c r="B53" s="26" t="n">
        <x:f>'Portfolio'!K53</x:f>
        <x:v>10.6</x:v>
      </x:c>
      <x:c r="C53" s="26" t="n">
        <x:f>SUMIF('Q2 2026 Activity'!$B$2:$B$20,A53,'Q2 2026 Activity'!$F$2:$F$20)</x:f>
        <x:v>0</x:v>
      </x:c>
      <x:c r="D53" s="26" t="n">
        <x:f>SUMIF('Q2 2026 Activity'!$B$2:$B$20,A53,'Q2 2026 Activity'!$H$2:$H$20)</x:f>
        <x:v>0</x:v>
      </x:c>
      <x:c r="E53" s="27" t="n">
        <x:f>B53</x:f>
        <x:v>10.6</x:v>
      </x:c>
      <x:c r="F53" s="27" t="n">
        <x:f>G53-E53</x:f>
        <x:v>0</x:v>
      </x:c>
      <x:c r="G53" s="27" t="n">
        <x:f>E53</x:f>
        <x:v>10.6</x:v>
      </x:c>
      <x:c r="H53" s="26" t="n">
        <x:f>'June 30 Target'!K53</x:f>
        <x:v>10.6</x:v>
      </x:c>
      <x:c r="I53" s="27" t="n">
        <x:f>G53-H53</x:f>
        <x:v>0</x:v>
      </x:c>
      <x:c r="J53" s="26" t="n">
        <x:f>'Portfolio'!I53</x:f>
        <x:v>5.6</x:v>
      </x:c>
      <x:c r="K53" s="27" t="n">
        <x:f>J53+C53</x:f>
        <x:v>5.6</x:v>
      </x:c>
      <x:c r="L53" s="26" t="n">
        <x:f>'June 30 Target'!I53</x:f>
        <x:v>5.6</x:v>
      </x:c>
      <x:c r="M53" s="27" t="n">
        <x:f>K53-L53</x:f>
        <x:v>0</x:v>
      </x:c>
      <x:c r="N53" s="26" t="n">
        <x:f>'Portfolio'!L53</x:f>
        <x:v>0</x:v>
      </x:c>
      <x:c r="O53" s="27" t="n">
        <x:f>N53+D53</x:f>
        <x:v>0</x:v>
      </x:c>
      <x:c r="P53" s="26" t="n">
        <x:f>'June 30 Target'!L53</x:f>
        <x:v>0</x:v>
      </x:c>
      <x:c r="Q53" s="27" t="n">
        <x:f>O53-P53</x:f>
        <x:v>0</x:v>
      </x:c>
      <x:c r="R53" s="27" t="n">
        <x:f>G53+D53-B53-C53</x:f>
        <x:v>0</x:v>
      </x:c>
      <x:c r="S53" s="7" t="str">
        <x:v>Carry; apply policy screening</x:v>
      </x:c>
    </x:row>
    <x:row r="54" ht="24" customHeight="1">
      <x:c r="A54" s="3" t="str">
        <x:v>Birchhollow</x:v>
      </x:c>
      <x:c r="B54" s="24" t="n">
        <x:f>'Portfolio'!K54</x:f>
        <x:v>43.3</x:v>
      </x:c>
      <x:c r="C54" s="24" t="n">
        <x:f>SUMIF('Q2 2026 Activity'!$B$2:$B$20,A54,'Q2 2026 Activity'!$F$2:$F$20)</x:f>
        <x:v>0</x:v>
      </x:c>
      <x:c r="D54" s="24" t="n">
        <x:f>SUMIF('Q2 2026 Activity'!$B$2:$B$20,A54,'Q2 2026 Activity'!$H$2:$H$20)</x:f>
        <x:v>0</x:v>
      </x:c>
      <x:c r="E54" s="25" t="n">
        <x:f>B54</x:f>
        <x:v>43.3</x:v>
      </x:c>
      <x:c r="F54" s="25" t="n">
        <x:f>G54-E54</x:f>
        <x:v>0</x:v>
      </x:c>
      <x:c r="G54" s="25" t="n">
        <x:f>E54</x:f>
        <x:v>43.3</x:v>
      </x:c>
      <x:c r="H54" s="24" t="n">
        <x:f>'June 30 Target'!K54</x:f>
        <x:v>43.3</x:v>
      </x:c>
      <x:c r="I54" s="25" t="n">
        <x:f>G54-H54</x:f>
        <x:v>0</x:v>
      </x:c>
      <x:c r="J54" s="24" t="n">
        <x:f>'Portfolio'!I54</x:f>
        <x:v>15.6</x:v>
      </x:c>
      <x:c r="K54" s="25" t="n">
        <x:f>J54+C54</x:f>
        <x:v>15.6</x:v>
      </x:c>
      <x:c r="L54" s="24" t="n">
        <x:f>'June 30 Target'!I54</x:f>
        <x:v>15.6</x:v>
      </x:c>
      <x:c r="M54" s="25" t="n">
        <x:f>K54-L54</x:f>
        <x:v>0</x:v>
      </x:c>
      <x:c r="N54" s="24" t="n">
        <x:f>'Portfolio'!L54</x:f>
        <x:v>0</x:v>
      </x:c>
      <x:c r="O54" s="25" t="n">
        <x:f>N54+D54</x:f>
        <x:v>0</x:v>
      </x:c>
      <x:c r="P54" s="24" t="n">
        <x:f>'June 30 Target'!L54</x:f>
        <x:v>0</x:v>
      </x:c>
      <x:c r="Q54" s="25" t="n">
        <x:f>O54-P54</x:f>
        <x:v>0</x:v>
      </x:c>
      <x:c r="R54" s="25" t="n">
        <x:f>G54+D54-B54-C54</x:f>
        <x:v>0</x:v>
      </x:c>
      <x:c r="S54" s="3" t="str">
        <x:v>Carry; apply policy screening</x:v>
      </x:c>
    </x:row>
    <x:row r="55" ht="24" customHeight="1">
      <x:c r="A55" s="7" t="str">
        <x:v>Covebright</x:v>
      </x:c>
      <x:c r="B55" s="26" t="n">
        <x:f>'Portfolio'!K55</x:f>
        <x:v>14.6</x:v>
      </x:c>
      <x:c r="C55" s="26" t="n">
        <x:f>SUMIF('Q2 2026 Activity'!$B$2:$B$20,A55,'Q2 2026 Activity'!$F$2:$F$20)</x:f>
        <x:v>0</x:v>
      </x:c>
      <x:c r="D55" s="26" t="n">
        <x:f>SUMIF('Q2 2026 Activity'!$B$2:$B$20,A55,'Q2 2026 Activity'!$H$2:$H$20)</x:f>
        <x:v>0</x:v>
      </x:c>
      <x:c r="E55" s="27" t="n">
        <x:f>B55</x:f>
        <x:v>14.6</x:v>
      </x:c>
      <x:c r="F55" s="27" t="n">
        <x:f>G55-E55</x:f>
        <x:v>0</x:v>
      </x:c>
      <x:c r="G55" s="27" t="n">
        <x:f>E55</x:f>
        <x:v>14.6</x:v>
      </x:c>
      <x:c r="H55" s="26" t="n">
        <x:f>'June 30 Target'!K55</x:f>
        <x:v>14.6</x:v>
      </x:c>
      <x:c r="I55" s="27" t="n">
        <x:f>G55-H55</x:f>
        <x:v>0</x:v>
      </x:c>
      <x:c r="J55" s="26" t="n">
        <x:f>'Portfolio'!I55</x:f>
        <x:v>4</x:v>
      </x:c>
      <x:c r="K55" s="27" t="n">
        <x:f>J55+C55</x:f>
        <x:v>4</x:v>
      </x:c>
      <x:c r="L55" s="26" t="n">
        <x:f>'June 30 Target'!I55</x:f>
        <x:v>4</x:v>
      </x:c>
      <x:c r="M55" s="27" t="n">
        <x:f>K55-L55</x:f>
        <x:v>0</x:v>
      </x:c>
      <x:c r="N55" s="26" t="n">
        <x:f>'Portfolio'!L55</x:f>
        <x:v>0</x:v>
      </x:c>
      <x:c r="O55" s="27" t="n">
        <x:f>N55+D55</x:f>
        <x:v>0</x:v>
      </x:c>
      <x:c r="P55" s="26" t="n">
        <x:f>'June 30 Target'!L55</x:f>
        <x:v>0</x:v>
      </x:c>
      <x:c r="Q55" s="27" t="n">
        <x:f>O55-P55</x:f>
        <x:v>0</x:v>
      </x:c>
      <x:c r="R55" s="27" t="n">
        <x:f>G55+D55-B55-C55</x:f>
        <x:v>0</x:v>
      </x:c>
      <x:c r="S55" s="7" t="str">
        <x:v>Carry; apply policy screening</x:v>
      </x:c>
    </x:row>
    <x:row r="56" ht="24" customHeight="1">
      <x:c r="A56" s="3" t="str">
        <x:v>Duskfern</x:v>
      </x:c>
      <x:c r="B56" s="24" t="n">
        <x:f>'Portfolio'!K56</x:f>
        <x:v>6.1</x:v>
      </x:c>
      <x:c r="C56" s="24" t="n">
        <x:f>SUMIF('Q2 2026 Activity'!$B$2:$B$20,A56,'Q2 2026 Activity'!$F$2:$F$20)</x:f>
        <x:v>0</x:v>
      </x:c>
      <x:c r="D56" s="24" t="n">
        <x:f>SUMIF('Q2 2026 Activity'!$B$2:$B$20,A56,'Q2 2026 Activity'!$H$2:$H$20)</x:f>
        <x:v>0</x:v>
      </x:c>
      <x:c r="E56" s="25" t="n">
        <x:f>B56</x:f>
        <x:v>6.1</x:v>
      </x:c>
      <x:c r="F56" s="25" t="n">
        <x:f>G56-E56</x:f>
        <x:v>0</x:v>
      </x:c>
      <x:c r="G56" s="25" t="n">
        <x:f>E56</x:f>
        <x:v>6.1</x:v>
      </x:c>
      <x:c r="H56" s="24" t="n">
        <x:f>'June 30 Target'!K56</x:f>
        <x:v>6.1</x:v>
      </x:c>
      <x:c r="I56" s="25" t="n">
        <x:f>G56-H56</x:f>
        <x:v>0</x:v>
      </x:c>
      <x:c r="J56" s="24" t="n">
        <x:f>'Portfolio'!I56</x:f>
        <x:v>5.6</x:v>
      </x:c>
      <x:c r="K56" s="25" t="n">
        <x:f>J56+C56</x:f>
        <x:v>5.6</x:v>
      </x:c>
      <x:c r="L56" s="24" t="n">
        <x:f>'June 30 Target'!I56</x:f>
        <x:v>5.6</x:v>
      </x:c>
      <x:c r="M56" s="25" t="n">
        <x:f>K56-L56</x:f>
        <x:v>0</x:v>
      </x:c>
      <x:c r="N56" s="24" t="n">
        <x:f>'Portfolio'!L56</x:f>
        <x:v>0</x:v>
      </x:c>
      <x:c r="O56" s="25" t="n">
        <x:f>N56+D56</x:f>
        <x:v>0</x:v>
      </x:c>
      <x:c r="P56" s="24" t="n">
        <x:f>'June 30 Target'!L56</x:f>
        <x:v>0</x:v>
      </x:c>
      <x:c r="Q56" s="25" t="n">
        <x:f>O56-P56</x:f>
        <x:v>0</x:v>
      </x:c>
      <x:c r="R56" s="25" t="n">
        <x:f>G56+D56-B56-C56</x:f>
        <x:v>0</x:v>
      </x:c>
      <x:c r="S56" s="3" t="str">
        <x:v>Carry; apply policy screening</x:v>
      </x:c>
    </x:row>
    <x:row r="57" ht="24" customHeight="1">
      <x:c r="A57" s="7" t="str">
        <x:v>Elmsworth Data</x:v>
      </x:c>
      <x:c r="B57" s="26" t="n">
        <x:f>'Portfolio'!K57</x:f>
        <x:v>23.8</x:v>
      </x:c>
      <x:c r="C57" s="26" t="n">
        <x:f>SUMIF('Q2 2026 Activity'!$B$2:$B$20,A57,'Q2 2026 Activity'!$F$2:$F$20)</x:f>
        <x:v>0</x:v>
      </x:c>
      <x:c r="D57" s="26" t="n">
        <x:f>SUMIF('Q2 2026 Activity'!$B$2:$B$20,A57,'Q2 2026 Activity'!$H$2:$H$20)</x:f>
        <x:v>0</x:v>
      </x:c>
      <x:c r="E57" s="27" t="n">
        <x:f>B57</x:f>
        <x:v>23.8</x:v>
      </x:c>
      <x:c r="F57" s="27" t="n">
        <x:f>G57-E57</x:f>
        <x:v>0</x:v>
      </x:c>
      <x:c r="G57" s="27" t="n">
        <x:f>E57</x:f>
        <x:v>23.8</x:v>
      </x:c>
      <x:c r="H57" s="26" t="n">
        <x:f>'June 30 Target'!K57</x:f>
        <x:v>23.8</x:v>
      </x:c>
      <x:c r="I57" s="27" t="n">
        <x:f>G57-H57</x:f>
        <x:v>0</x:v>
      </x:c>
      <x:c r="J57" s="26" t="n">
        <x:f>'Portfolio'!I57</x:f>
        <x:v>5</x:v>
      </x:c>
      <x:c r="K57" s="27" t="n">
        <x:f>J57+C57</x:f>
        <x:v>5</x:v>
      </x:c>
      <x:c r="L57" s="26" t="n">
        <x:f>'June 30 Target'!I57</x:f>
        <x:v>5</x:v>
      </x:c>
      <x:c r="M57" s="27" t="n">
        <x:f>K57-L57</x:f>
        <x:v>0</x:v>
      </x:c>
      <x:c r="N57" s="26" t="n">
        <x:f>'Portfolio'!L57</x:f>
        <x:v>0</x:v>
      </x:c>
      <x:c r="O57" s="27" t="n">
        <x:f>N57+D57</x:f>
        <x:v>0</x:v>
      </x:c>
      <x:c r="P57" s="26" t="n">
        <x:f>'June 30 Target'!L57</x:f>
        <x:v>0</x:v>
      </x:c>
      <x:c r="Q57" s="27" t="n">
        <x:f>O57-P57</x:f>
        <x:v>0</x:v>
      </x:c>
      <x:c r="R57" s="27" t="n">
        <x:f>G57+D57-B57-C57</x:f>
        <x:v>0</x:v>
      </x:c>
      <x:c r="S57" s="7" t="str">
        <x:v>Carry; apply policy screening</x:v>
      </x:c>
    </x:row>
    <x:row r="58" ht="24" customHeight="1">
      <x:c r="A58" s="3" t="str">
        <x:v>Foxtrellis</x:v>
      </x:c>
      <x:c r="B58" s="24" t="n">
        <x:f>'Portfolio'!K58</x:f>
        <x:v>26.5</x:v>
      </x:c>
      <x:c r="C58" s="24" t="n">
        <x:f>SUMIF('Q2 2026 Activity'!$B$2:$B$20,A58,'Q2 2026 Activity'!$F$2:$F$20)</x:f>
        <x:v>0</x:v>
      </x:c>
      <x:c r="D58" s="24" t="n">
        <x:f>SUMIF('Q2 2026 Activity'!$B$2:$B$20,A58,'Q2 2026 Activity'!$H$2:$H$20)</x:f>
        <x:v>0</x:v>
      </x:c>
      <x:c r="E58" s="25" t="n">
        <x:f>B58</x:f>
        <x:v>26.5</x:v>
      </x:c>
      <x:c r="F58" s="25" t="n">
        <x:f>G58-E58</x:f>
        <x:v>0</x:v>
      </x:c>
      <x:c r="G58" s="25" t="n">
        <x:f>E58</x:f>
        <x:v>26.5</x:v>
      </x:c>
      <x:c r="H58" s="24" t="n">
        <x:f>'June 30 Target'!K58</x:f>
        <x:v>26.5</x:v>
      </x:c>
      <x:c r="I58" s="25" t="n">
        <x:f>G58-H58</x:f>
        <x:v>0</x:v>
      </x:c>
      <x:c r="J58" s="24" t="n">
        <x:f>'Portfolio'!I58</x:f>
        <x:v>4</x:v>
      </x:c>
      <x:c r="K58" s="25" t="n">
        <x:f>J58+C58</x:f>
        <x:v>4</x:v>
      </x:c>
      <x:c r="L58" s="24" t="n">
        <x:f>'June 30 Target'!I58</x:f>
        <x:v>4</x:v>
      </x:c>
      <x:c r="M58" s="25" t="n">
        <x:f>K58-L58</x:f>
        <x:v>0</x:v>
      </x:c>
      <x:c r="N58" s="24" t="n">
        <x:f>'Portfolio'!L58</x:f>
        <x:v>0</x:v>
      </x:c>
      <x:c r="O58" s="25" t="n">
        <x:f>N58+D58</x:f>
        <x:v>0</x:v>
      </x:c>
      <x:c r="P58" s="24" t="n">
        <x:f>'June 30 Target'!L58</x:f>
        <x:v>0</x:v>
      </x:c>
      <x:c r="Q58" s="25" t="n">
        <x:f>O58-P58</x:f>
        <x:v>0</x:v>
      </x:c>
      <x:c r="R58" s="25" t="n">
        <x:f>G58+D58-B58-C58</x:f>
        <x:v>0</x:v>
      </x:c>
      <x:c r="S58" s="3" t="str">
        <x:v>Carry; apply policy screening</x:v>
      </x:c>
    </x:row>
    <x:row r="59" ht="24" customHeight="1">
      <x:c r="A59" s="7" t="str">
        <x:v>Gorseline</x:v>
      </x:c>
      <x:c r="B59" s="26" t="n">
        <x:f>'Portfolio'!K59</x:f>
        <x:v>3.1</x:v>
      </x:c>
      <x:c r="C59" s="26" t="n">
        <x:f>SUMIF('Q2 2026 Activity'!$B$2:$B$20,A59,'Q2 2026 Activity'!$F$2:$F$20)</x:f>
        <x:v>0</x:v>
      </x:c>
      <x:c r="D59" s="26" t="n">
        <x:f>SUMIF('Q2 2026 Activity'!$B$2:$B$20,A59,'Q2 2026 Activity'!$H$2:$H$20)</x:f>
        <x:v>0</x:v>
      </x:c>
      <x:c r="E59" s="27" t="n">
        <x:f>B59</x:f>
        <x:v>3.1</x:v>
      </x:c>
      <x:c r="F59" s="27" t="n">
        <x:f>G59-E59</x:f>
        <x:v>0</x:v>
      </x:c>
      <x:c r="G59" s="27" t="n">
        <x:f>E59</x:f>
        <x:v>3.1</x:v>
      </x:c>
      <x:c r="H59" s="26" t="n">
        <x:f>'June 30 Target'!K59</x:f>
        <x:v>3.1</x:v>
      </x:c>
      <x:c r="I59" s="27" t="n">
        <x:f>G59-H59</x:f>
        <x:v>0</x:v>
      </x:c>
      <x:c r="J59" s="26" t="n">
        <x:f>'Portfolio'!I59</x:f>
        <x:v>2.1</x:v>
      </x:c>
      <x:c r="K59" s="27" t="n">
        <x:f>J59+C59</x:f>
        <x:v>2.1</x:v>
      </x:c>
      <x:c r="L59" s="26" t="n">
        <x:f>'June 30 Target'!I59</x:f>
        <x:v>2.1</x:v>
      </x:c>
      <x:c r="M59" s="27" t="n">
        <x:f>K59-L59</x:f>
        <x:v>0</x:v>
      </x:c>
      <x:c r="N59" s="26" t="n">
        <x:f>'Portfolio'!L59</x:f>
        <x:v>0</x:v>
      </x:c>
      <x:c r="O59" s="27" t="n">
        <x:f>N59+D59</x:f>
        <x:v>0</x:v>
      </x:c>
      <x:c r="P59" s="26" t="n">
        <x:f>'June 30 Target'!L59</x:f>
        <x:v>0</x:v>
      </x:c>
      <x:c r="Q59" s="27" t="n">
        <x:f>O59-P59</x:f>
        <x:v>0</x:v>
      </x:c>
      <x:c r="R59" s="27" t="n">
        <x:f>G59+D59-B59-C59</x:f>
        <x:v>0</x:v>
      </x:c>
      <x:c r="S59" s="7" t="str">
        <x:v>Carry; apply policy screening</x:v>
      </x:c>
    </x:row>
    <x:row r="60" ht="24" customHeight="1">
      <x:c r="A60" s="3" t="str">
        <x:v>Hearthwick</x:v>
      </x:c>
      <x:c r="B60" s="24" t="n">
        <x:f>'Portfolio'!K60</x:f>
        <x:v>0.7</x:v>
      </x:c>
      <x:c r="C60" s="24" t="n">
        <x:f>SUMIF('Q2 2026 Activity'!$B$2:$B$20,A60,'Q2 2026 Activity'!$F$2:$F$20)</x:f>
        <x:v>0.1</x:v>
      </x:c>
      <x:c r="D60" s="24" t="n">
        <x:f>SUMIF('Q2 2026 Activity'!$B$2:$B$20,A60,'Q2 2026 Activity'!$H$2:$H$20)</x:f>
        <x:v>1.2</x:v>
      </x:c>
      <x:c r="E60" s="25" t="n">
        <x:f>0</x:f>
        <x:v>0</x:v>
      </x:c>
      <x:c r="F60" s="25" t="n">
        <x:f>G60-E60</x:f>
        <x:v>0</x:v>
      </x:c>
      <x:c r="G60" s="25" t="n">
        <x:f>E60</x:f>
        <x:v>0</x:v>
      </x:c>
      <x:c r="H60" s="24" t="n">
        <x:f>'June 30 Target'!K60</x:f>
        <x:v>0</x:v>
      </x:c>
      <x:c r="I60" s="25" t="n">
        <x:f>G60-H60</x:f>
        <x:v>0</x:v>
      </x:c>
      <x:c r="J60" s="24" t="n">
        <x:f>'Portfolio'!I60</x:f>
        <x:v>0.6</x:v>
      </x:c>
      <x:c r="K60" s="25" t="n">
        <x:f>J60+C60</x:f>
        <x:v>0.7</x:v>
      </x:c>
      <x:c r="L60" s="24" t="n">
        <x:f>'June 30 Target'!I60</x:f>
        <x:v>0.7</x:v>
      </x:c>
      <x:c r="M60" s="25" t="n">
        <x:f>K60-L60</x:f>
        <x:v>0</x:v>
      </x:c>
      <x:c r="N60" s="24" t="n">
        <x:f>'Portfolio'!L60</x:f>
        <x:v>0</x:v>
      </x:c>
      <x:c r="O60" s="25" t="n">
        <x:f>N60+D60</x:f>
        <x:v>1.2</x:v>
      </x:c>
      <x:c r="P60" s="24" t="n">
        <x:f>'June 30 Target'!L60</x:f>
        <x:v>1.2</x:v>
      </x:c>
      <x:c r="Q60" s="25" t="n">
        <x:f>O60-P60</x:f>
        <x:v>0</x:v>
      </x:c>
      <x:c r="R60" s="25" t="n">
        <x:f>G60+D60-B60-C60</x:f>
        <x:v>0.4</x:v>
      </x:c>
      <x:c r="S60" s="3" t="str">
        <x:v>Round then acquisition then escrow release</x:v>
      </x:c>
    </x:row>
    <x:row r="61" ht="24" customHeight="1">
      <x:c r="A61" s="7" t="str">
        <x:v>Inkmoor</x:v>
      </x:c>
      <x:c r="B61" s="26" t="n">
        <x:f>'Portfolio'!K61</x:f>
        <x:v>3</x:v>
      </x:c>
      <x:c r="C61" s="26" t="n">
        <x:f>SUMIF('Q2 2026 Activity'!$B$2:$B$20,A61,'Q2 2026 Activity'!$F$2:$F$20)</x:f>
        <x:v>0</x:v>
      </x:c>
      <x:c r="D61" s="26" t="n">
        <x:f>SUMIF('Q2 2026 Activity'!$B$2:$B$20,A61,'Q2 2026 Activity'!$H$2:$H$20)</x:f>
        <x:v>0</x:v>
      </x:c>
      <x:c r="E61" s="27" t="n">
        <x:f>B61</x:f>
        <x:v>3</x:v>
      </x:c>
      <x:c r="F61" s="27" t="n">
        <x:f>G61-E61</x:f>
        <x:v>0</x:v>
      </x:c>
      <x:c r="G61" s="27" t="n">
        <x:f>E61</x:f>
        <x:v>3</x:v>
      </x:c>
      <x:c r="H61" s="26" t="n">
        <x:f>'June 30 Target'!K61</x:f>
        <x:v>3</x:v>
      </x:c>
      <x:c r="I61" s="27" t="n">
        <x:f>G61-H61</x:f>
        <x:v>0</x:v>
      </x:c>
      <x:c r="J61" s="26" t="n">
        <x:f>'Portfolio'!I61</x:f>
        <x:v>6</x:v>
      </x:c>
      <x:c r="K61" s="27" t="n">
        <x:f>J61+C61</x:f>
        <x:v>6</x:v>
      </x:c>
      <x:c r="L61" s="26" t="n">
        <x:f>'June 30 Target'!I61</x:f>
        <x:v>6</x:v>
      </x:c>
      <x:c r="M61" s="27" t="n">
        <x:f>K61-L61</x:f>
        <x:v>0</x:v>
      </x:c>
      <x:c r="N61" s="26" t="n">
        <x:f>'Portfolio'!L61</x:f>
        <x:v>0</x:v>
      </x:c>
      <x:c r="O61" s="27" t="n">
        <x:f>N61+D61</x:f>
        <x:v>0</x:v>
      </x:c>
      <x:c r="P61" s="26" t="n">
        <x:f>'June 30 Target'!L61</x:f>
        <x:v>0</x:v>
      </x:c>
      <x:c r="Q61" s="27" t="n">
        <x:f>O61-P61</x:f>
        <x:v>0</x:v>
      </x:c>
      <x:c r="R61" s="27" t="n">
        <x:f>G61+D61-B61-C61</x:f>
        <x:v>0</x:v>
      </x:c>
      <x:c r="S61" s="7" t="str">
        <x:v>Carry; apply policy screening</x:v>
      </x:c>
    </x:row>
    <x:row r="62" ht="24" customHeight="1">
      <x:c r="A62" s="3" t="str">
        <x:v>Jadewell Payments</x:v>
      </x:c>
      <x:c r="B62" s="24" t="n">
        <x:f>'Portfolio'!K62</x:f>
        <x:v>5.6</x:v>
      </x:c>
      <x:c r="C62" s="24" t="n">
        <x:f>SUMIF('Q2 2026 Activity'!$B$2:$B$20,A62,'Q2 2026 Activity'!$F$2:$F$20)</x:f>
        <x:v>0</x:v>
      </x:c>
      <x:c r="D62" s="24" t="n">
        <x:f>SUMIF('Q2 2026 Activity'!$B$2:$B$20,A62,'Q2 2026 Activity'!$H$2:$H$20)</x:f>
        <x:v>0</x:v>
      </x:c>
      <x:c r="E62" s="25" t="n">
        <x:f>B62</x:f>
        <x:v>5.6</x:v>
      </x:c>
      <x:c r="F62" s="25" t="n">
        <x:f>G62-E62</x:f>
        <x:v>0</x:v>
      </x:c>
      <x:c r="G62" s="25" t="n">
        <x:f>E62</x:f>
        <x:v>5.6</x:v>
      </x:c>
      <x:c r="H62" s="24" t="n">
        <x:f>'June 30 Target'!K62</x:f>
        <x:v>5.6</x:v>
      </x:c>
      <x:c r="I62" s="25" t="n">
        <x:f>G62-H62</x:f>
        <x:v>0</x:v>
      </x:c>
      <x:c r="J62" s="24" t="n">
        <x:f>'Portfolio'!I62</x:f>
        <x:v>4.6</x:v>
      </x:c>
      <x:c r="K62" s="25" t="n">
        <x:f>J62+C62</x:f>
        <x:v>4.6</x:v>
      </x:c>
      <x:c r="L62" s="24" t="n">
        <x:f>'June 30 Target'!I62</x:f>
        <x:v>4.6</x:v>
      </x:c>
      <x:c r="M62" s="25" t="n">
        <x:f>K62-L62</x:f>
        <x:v>0</x:v>
      </x:c>
      <x:c r="N62" s="24" t="n">
        <x:f>'Portfolio'!L62</x:f>
        <x:v>0</x:v>
      </x:c>
      <x:c r="O62" s="25" t="n">
        <x:f>N62+D62</x:f>
        <x:v>0</x:v>
      </x:c>
      <x:c r="P62" s="24" t="n">
        <x:f>'June 30 Target'!L62</x:f>
        <x:v>0</x:v>
      </x:c>
      <x:c r="Q62" s="25" t="n">
        <x:f>O62-P62</x:f>
        <x:v>0</x:v>
      </x:c>
      <x:c r="R62" s="25" t="n">
        <x:f>G62+D62-B62-C62</x:f>
        <x:v>0</x:v>
      </x:c>
      <x:c r="S62" s="3" t="str">
        <x:v>Carry; apply policy screening</x:v>
      </x:c>
    </x:row>
    <x:row r="63" ht="24" customHeight="1">
      <x:c r="A63" s="7" t="str">
        <x:v>Kilnbrook</x:v>
      </x:c>
      <x:c r="B63" s="26" t="n">
        <x:f>'Portfolio'!K63</x:f>
        <x:v>4.4</x:v>
      </x:c>
      <x:c r="C63" s="26" t="n">
        <x:f>SUMIF('Q2 2026 Activity'!$B$2:$B$20,A63,'Q2 2026 Activity'!$F$2:$F$20)</x:f>
        <x:v>0</x:v>
      </x:c>
      <x:c r="D63" s="26" t="n">
        <x:f>SUMIF('Q2 2026 Activity'!$B$2:$B$20,A63,'Q2 2026 Activity'!$H$2:$H$20)</x:f>
        <x:v>0</x:v>
      </x:c>
      <x:c r="E63" s="27" t="n">
        <x:f>B63</x:f>
        <x:v>4.4</x:v>
      </x:c>
      <x:c r="F63" s="27" t="n">
        <x:f>G63-E63</x:f>
        <x:v>0</x:v>
      </x:c>
      <x:c r="G63" s="27" t="n">
        <x:f>E63</x:f>
        <x:v>4.4</x:v>
      </x:c>
      <x:c r="H63" s="26" t="n">
        <x:f>'June 30 Target'!K63</x:f>
        <x:v>4.4</x:v>
      </x:c>
      <x:c r="I63" s="27" t="n">
        <x:f>G63-H63</x:f>
        <x:v>0</x:v>
      </x:c>
      <x:c r="J63" s="26" t="n">
        <x:f>'Portfolio'!I63</x:f>
        <x:v>2</x:v>
      </x:c>
      <x:c r="K63" s="27" t="n">
        <x:f>J63+C63</x:f>
        <x:v>2</x:v>
      </x:c>
      <x:c r="L63" s="26" t="n">
        <x:f>'June 30 Target'!I63</x:f>
        <x:v>2</x:v>
      </x:c>
      <x:c r="M63" s="27" t="n">
        <x:f>K63-L63</x:f>
        <x:v>0</x:v>
      </x:c>
      <x:c r="N63" s="26" t="n">
        <x:f>'Portfolio'!L63</x:f>
        <x:v>0</x:v>
      </x:c>
      <x:c r="O63" s="27" t="n">
        <x:f>N63+D63</x:f>
        <x:v>0</x:v>
      </x:c>
      <x:c r="P63" s="26" t="n">
        <x:f>'June 30 Target'!L63</x:f>
        <x:v>0</x:v>
      </x:c>
      <x:c r="Q63" s="27" t="n">
        <x:f>O63-P63</x:f>
        <x:v>0</x:v>
      </x:c>
      <x:c r="R63" s="27" t="n">
        <x:f>G63+D63-B63-C63</x:f>
        <x:v>0</x:v>
      </x:c>
      <x:c r="S63" s="7" t="str">
        <x:v>Carry; apply policy screening</x:v>
      </x:c>
    </x:row>
    <x:row r="64" ht="24" customHeight="1">
      <x:c r="A64" s="3" t="str">
        <x:v>Loamfield Robotics</x:v>
      </x:c>
      <x:c r="B64" s="25" t="n">
        <x:f>0</x:f>
        <x:v>0</x:v>
      </x:c>
      <x:c r="C64" s="24" t="n">
        <x:f>SUMIF('Q2 2026 Activity'!$B$2:$B$20,A64,'Q2 2026 Activity'!$F$2:$F$20)</x:f>
        <x:v>1.5</x:v>
      </x:c>
      <x:c r="D64" s="24" t="n">
        <x:f>SUMIF('Q2 2026 Activity'!$B$2:$B$20,A64,'Q2 2026 Activity'!$H$2:$H$20)</x:f>
        <x:v>0</x:v>
      </x:c>
      <x:c r="E64" s="24" t="n">
        <x:f>'Q2 2026 Activity'!E2*'Q2 2026 Activity'!G2</x:f>
        <x:v>1.1016</x:v>
      </x:c>
      <x:c r="F64" s="25" t="n">
        <x:f>G64-E64</x:f>
        <x:v>-0.0015999999999998238</x:v>
      </x:c>
      <x:c r="G64" s="25" t="n">
        <x:f>ROUND(E64,1)</x:f>
        <x:v>1.1</x:v>
      </x:c>
      <x:c r="H64" s="24" t="n">
        <x:f>'June 30 Target'!K64</x:f>
        <x:v>1.1</x:v>
      </x:c>
      <x:c r="I64" s="25" t="n">
        <x:f>G64-H64</x:f>
        <x:v>0</x:v>
      </x:c>
      <x:c r="J64" s="25" t="n">
        <x:f>0</x:f>
        <x:v>0</x:v>
      </x:c>
      <x:c r="K64" s="25" t="n">
        <x:f>J64+C64</x:f>
        <x:v>1.5</x:v>
      </x:c>
      <x:c r="L64" s="24" t="n">
        <x:f>'June 30 Target'!I64</x:f>
        <x:v>1.5</x:v>
      </x:c>
      <x:c r="M64" s="25" t="n">
        <x:f>K64-L64</x:f>
        <x:v>0</x:v>
      </x:c>
      <x:c r="N64" s="25" t="n">
        <x:f>0</x:f>
        <x:v>0</x:v>
      </x:c>
      <x:c r="O64" s="25" t="n">
        <x:f>N64+D64</x:f>
        <x:v>0</x:v>
      </x:c>
      <x:c r="P64" s="24" t="n">
        <x:f>'June 30 Target'!L64</x:f>
        <x:v>0</x:v>
      </x:c>
      <x:c r="Q64" s="25" t="n">
        <x:f>O64-P64</x:f>
        <x:v>0</x:v>
      </x:c>
      <x:c r="R64" s="25" t="n">
        <x:f>G64+D64-B64-C64</x:f>
        <x:v>-0.3999999999999999</x:v>
      </x:c>
      <x:c r="S64" s="3" t="str">
        <x:v>New company / initial investment</x:v>
      </x:c>
    </x:row>
    <x:row r="65" ht="24" customHeight="1">
      <x:c r="A65" s="7" t="str">
        <x:v>Mirthstone</x:v>
      </x:c>
      <x:c r="B65" s="26" t="n">
        <x:f>'Portfolio'!K64</x:f>
        <x:v>6.6</x:v>
      </x:c>
      <x:c r="C65" s="26" t="n">
        <x:f>SUMIF('Q2 2026 Activity'!$B$2:$B$20,A65,'Q2 2026 Activity'!$F$2:$F$20)</x:f>
        <x:v>0</x:v>
      </x:c>
      <x:c r="D65" s="26" t="n">
        <x:f>SUMIF('Q2 2026 Activity'!$B$2:$B$20,A65,'Q2 2026 Activity'!$H$2:$H$20)</x:f>
        <x:v>0</x:v>
      </x:c>
      <x:c r="E65" s="27" t="n">
        <x:f>B65</x:f>
        <x:v>6.6</x:v>
      </x:c>
      <x:c r="F65" s="27" t="n">
        <x:f>G65-E65</x:f>
        <x:v>0</x:v>
      </x:c>
      <x:c r="G65" s="27" t="n">
        <x:f>E65</x:f>
        <x:v>6.6</x:v>
      </x:c>
      <x:c r="H65" s="26" t="n">
        <x:f>'June 30 Target'!K65</x:f>
        <x:v>6.6</x:v>
      </x:c>
      <x:c r="I65" s="27" t="n">
        <x:f>G65-H65</x:f>
        <x:v>0</x:v>
      </x:c>
      <x:c r="J65" s="26" t="n">
        <x:f>'Portfolio'!I64</x:f>
        <x:v>4</x:v>
      </x:c>
      <x:c r="K65" s="27" t="n">
        <x:f>J65+C65</x:f>
        <x:v>4</x:v>
      </x:c>
      <x:c r="L65" s="26" t="n">
        <x:f>'June 30 Target'!I65</x:f>
        <x:v>4</x:v>
      </x:c>
      <x:c r="M65" s="27" t="n">
        <x:f>K65-L65</x:f>
        <x:v>0</x:v>
      </x:c>
      <x:c r="N65" s="26" t="n">
        <x:f>'Portfolio'!L64</x:f>
        <x:v>0</x:v>
      </x:c>
      <x:c r="O65" s="27" t="n">
        <x:f>N65+D65</x:f>
        <x:v>0</x:v>
      </x:c>
      <x:c r="P65" s="26" t="n">
        <x:f>'June 30 Target'!L65</x:f>
        <x:v>0</x:v>
      </x:c>
      <x:c r="Q65" s="27" t="n">
        <x:f>O65-P65</x:f>
        <x:v>0</x:v>
      </x:c>
      <x:c r="R65" s="27" t="n">
        <x:f>G65+D65-B65-C65</x:f>
        <x:v>0</x:v>
      </x:c>
      <x:c r="S65" s="7" t="str">
        <x:v>Carry; apply policy screening</x:v>
      </x:c>
    </x:row>
    <x:row r="66" ht="24" customHeight="1">
      <x:c r="A66" s="3" t="str">
        <x:v>Nettlebay</x:v>
      </x:c>
      <x:c r="B66" s="24" t="n">
        <x:f>'Portfolio'!K65</x:f>
        <x:v>21.3</x:v>
      </x:c>
      <x:c r="C66" s="24" t="n">
        <x:f>SUMIF('Q2 2026 Activity'!$B$2:$B$20,A66,'Q2 2026 Activity'!$F$2:$F$20)</x:f>
        <x:v>0</x:v>
      </x:c>
      <x:c r="D66" s="24" t="n">
        <x:f>SUMIF('Q2 2026 Activity'!$B$2:$B$20,A66,'Q2 2026 Activity'!$H$2:$H$20)</x:f>
        <x:v>0</x:v>
      </x:c>
      <x:c r="E66" s="25" t="n">
        <x:f>B66</x:f>
        <x:v>21.3</x:v>
      </x:c>
      <x:c r="F66" s="25" t="n">
        <x:f>G66-E66</x:f>
        <x:v>0</x:v>
      </x:c>
      <x:c r="G66" s="25" t="n">
        <x:f>E66</x:f>
        <x:v>21.3</x:v>
      </x:c>
      <x:c r="H66" s="24" t="n">
        <x:f>'June 30 Target'!K66</x:f>
        <x:v>21.3</x:v>
      </x:c>
      <x:c r="I66" s="25" t="n">
        <x:f>G66-H66</x:f>
        <x:v>0</x:v>
      </x:c>
      <x:c r="J66" s="24" t="n">
        <x:f>'Portfolio'!I65</x:f>
        <x:v>15</x:v>
      </x:c>
      <x:c r="K66" s="25" t="n">
        <x:f>J66+C66</x:f>
        <x:v>15</x:v>
      </x:c>
      <x:c r="L66" s="24" t="n">
        <x:f>'June 30 Target'!I66</x:f>
        <x:v>15</x:v>
      </x:c>
      <x:c r="M66" s="25" t="n">
        <x:f>K66-L66</x:f>
        <x:v>0</x:v>
      </x:c>
      <x:c r="N66" s="24" t="n">
        <x:f>'Portfolio'!L65</x:f>
        <x:v>0</x:v>
      </x:c>
      <x:c r="O66" s="25" t="n">
        <x:f>N66+D66</x:f>
        <x:v>0</x:v>
      </x:c>
      <x:c r="P66" s="24" t="n">
        <x:f>'June 30 Target'!L66</x:f>
        <x:v>0</x:v>
      </x:c>
      <x:c r="Q66" s="25" t="n">
        <x:f>O66-P66</x:f>
        <x:v>0</x:v>
      </x:c>
      <x:c r="R66" s="25" t="n">
        <x:f>G66+D66-B66-C66</x:f>
        <x:v>0</x:v>
      </x:c>
      <x:c r="S66" s="3" t="str">
        <x:v>Carry; apply policy screening</x:v>
      </x:c>
    </x:row>
    <x:row r="67" ht="24" customHeight="1">
      <x:c r="A67" s="7" t="str">
        <x:v>Orchardline</x:v>
      </x:c>
      <x:c r="B67" s="26" t="n">
        <x:f>'Portfolio'!K66</x:f>
        <x:v>7.3</x:v>
      </x:c>
      <x:c r="C67" s="26" t="n">
        <x:f>SUMIF('Q2 2026 Activity'!$B$2:$B$20,A67,'Q2 2026 Activity'!$F$2:$F$20)</x:f>
        <x:v>0</x:v>
      </x:c>
      <x:c r="D67" s="26" t="n">
        <x:f>SUMIF('Q2 2026 Activity'!$B$2:$B$20,A67,'Q2 2026 Activity'!$H$2:$H$20)</x:f>
        <x:v>0</x:v>
      </x:c>
      <x:c r="E67" s="27" t="n">
        <x:f>B67</x:f>
        <x:v>7.3</x:v>
      </x:c>
      <x:c r="F67" s="27" t="n">
        <x:f>G67-E67</x:f>
        <x:v>0</x:v>
      </x:c>
      <x:c r="G67" s="27" t="n">
        <x:f>E67</x:f>
        <x:v>7.3</x:v>
      </x:c>
      <x:c r="H67" s="26" t="n">
        <x:f>'June 30 Target'!K67</x:f>
        <x:v>7.3</x:v>
      </x:c>
      <x:c r="I67" s="27" t="n">
        <x:f>G67-H67</x:f>
        <x:v>0</x:v>
      </x:c>
      <x:c r="J67" s="26" t="n">
        <x:f>'Portfolio'!I66</x:f>
        <x:v>4</x:v>
      </x:c>
      <x:c r="K67" s="27" t="n">
        <x:f>J67+C67</x:f>
        <x:v>4</x:v>
      </x:c>
      <x:c r="L67" s="26" t="n">
        <x:f>'June 30 Target'!I67</x:f>
        <x:v>4</x:v>
      </x:c>
      <x:c r="M67" s="27" t="n">
        <x:f>K67-L67</x:f>
        <x:v>0</x:v>
      </x:c>
      <x:c r="N67" s="26" t="n">
        <x:f>'Portfolio'!L66</x:f>
        <x:v>0</x:v>
      </x:c>
      <x:c r="O67" s="27" t="n">
        <x:f>N67+D67</x:f>
        <x:v>0</x:v>
      </x:c>
      <x:c r="P67" s="26" t="n">
        <x:f>'June 30 Target'!L67</x:f>
        <x:v>0</x:v>
      </x:c>
      <x:c r="Q67" s="27" t="n">
        <x:f>O67-P67</x:f>
        <x:v>0</x:v>
      </x:c>
      <x:c r="R67" s="27" t="n">
        <x:f>G67+D67-B67-C67</x:f>
        <x:v>0</x:v>
      </x:c>
      <x:c r="S67" s="7" t="str">
        <x:v>No activity / 3.5 months runway</x:v>
      </x:c>
    </x:row>
    <x:row r="68" ht="24" customHeight="1">
      <x:c r="A68" s="3" t="str">
        <x:v>Palefire Labs</x:v>
      </x:c>
      <x:c r="B68" s="24" t="n">
        <x:f>'Portfolio'!K67</x:f>
        <x:v>5.4</x:v>
      </x:c>
      <x:c r="C68" s="24" t="n">
        <x:f>SUMIF('Q2 2026 Activity'!$B$2:$B$20,A68,'Q2 2026 Activity'!$F$2:$F$20)</x:f>
        <x:v>1.2</x:v>
      </x:c>
      <x:c r="D68" s="24" t="n">
        <x:f>SUMIF('Q2 2026 Activity'!$B$2:$B$20,A68,'Q2 2026 Activity'!$H$2:$H$20)</x:f>
        <x:v>0</x:v>
      </x:c>
      <x:c r="E68" s="24" t="n">
        <x:f>'Q2 2026 Activity'!E12*'Q2 2026 Activity'!G12</x:f>
        <x:v>6.515999999999999</x:v>
      </x:c>
      <x:c r="F68" s="25" t="n">
        <x:f>G68-E68</x:f>
        <x:v>-0.015999999999999126</x:v>
      </x:c>
      <x:c r="G68" s="25" t="n">
        <x:f>ROUND(E68,1)</x:f>
        <x:v>6.5</x:v>
      </x:c>
      <x:c r="H68" s="24" t="n">
        <x:f>'June 30 Target'!K68</x:f>
        <x:v>6.5</x:v>
      </x:c>
      <x:c r="I68" s="25" t="n">
        <x:f>G68-H68</x:f>
        <x:v>0</x:v>
      </x:c>
      <x:c r="J68" s="24" t="n">
        <x:f>'Portfolio'!I67</x:f>
        <x:v>4.8</x:v>
      </x:c>
      <x:c r="K68" s="25" t="n">
        <x:f>J68+C68</x:f>
        <x:v>6</x:v>
      </x:c>
      <x:c r="L68" s="24" t="n">
        <x:f>'June 30 Target'!I68</x:f>
        <x:v>6</x:v>
      </x:c>
      <x:c r="M68" s="25" t="n">
        <x:f>K68-L68</x:f>
        <x:v>0</x:v>
      </x:c>
      <x:c r="N68" s="24" t="n">
        <x:f>'Portfolio'!L67</x:f>
        <x:v>0</x:v>
      </x:c>
      <x:c r="O68" s="25" t="n">
        <x:f>N68+D68</x:f>
        <x:v>0</x:v>
      </x:c>
      <x:c r="P68" s="24" t="n">
        <x:f>'June 30 Target'!L68</x:f>
        <x:v>0</x:v>
      </x:c>
      <x:c r="Q68" s="25" t="n">
        <x:f>O68-P68</x:f>
        <x:v>0</x:v>
      </x:c>
      <x:c r="R68" s="25" t="n">
        <x:f>G68+D68-B68-C68</x:f>
        <x:v>-0.10000000000000031</x:v>
      </x:c>
      <x:c r="S68" s="3" t="str">
        <x:v>Exact pro rata financing</x:v>
      </x:c>
    </x:row>
    <x:row r="69" ht="24" customHeight="1">
      <x:c r="A69" s="7" t="str">
        <x:v>Quillshade</x:v>
      </x:c>
      <x:c r="B69" s="26" t="n">
        <x:f>'Portfolio'!K68</x:f>
        <x:v>6</x:v>
      </x:c>
      <x:c r="C69" s="26" t="n">
        <x:f>SUMIF('Q2 2026 Activity'!$B$2:$B$20,A69,'Q2 2026 Activity'!$F$2:$F$20)</x:f>
        <x:v>1.5</x:v>
      </x:c>
      <x:c r="D69" s="26" t="n">
        <x:f>SUMIF('Q2 2026 Activity'!$B$2:$B$20,A69,'Q2 2026 Activity'!$H$2:$H$20)</x:f>
        <x:v>0</x:v>
      </x:c>
      <x:c r="E69" s="26" t="n">
        <x:f>'Q2 2026 Activity'!E13*'Q2 2026 Activity'!G13</x:f>
        <x:v>8.9235</x:v>
      </x:c>
      <x:c r="F69" s="27" t="n">
        <x:f>G69-E69</x:f>
        <x:v>-0.0235000000000003</x:v>
      </x:c>
      <x:c r="G69" s="27" t="n">
        <x:f>ROUND(E69,1)</x:f>
        <x:v>8.9</x:v>
      </x:c>
      <x:c r="H69" s="26" t="n">
        <x:f>'June 30 Target'!K69</x:f>
        <x:v>8.9</x:v>
      </x:c>
      <x:c r="I69" s="27" t="n">
        <x:f>G69-H69</x:f>
        <x:v>0</x:v>
      </x:c>
      <x:c r="J69" s="26" t="n">
        <x:f>'Portfolio'!I68</x:f>
        <x:v>4.5</x:v>
      </x:c>
      <x:c r="K69" s="27" t="n">
        <x:f>J69+C69</x:f>
        <x:v>6</x:v>
      </x:c>
      <x:c r="L69" s="26" t="n">
        <x:f>'June 30 Target'!I69</x:f>
        <x:v>6</x:v>
      </x:c>
      <x:c r="M69" s="27" t="n">
        <x:f>K69-L69</x:f>
        <x:v>0</x:v>
      </x:c>
      <x:c r="N69" s="26" t="n">
        <x:f>'Portfolio'!L68</x:f>
        <x:v>0</x:v>
      </x:c>
      <x:c r="O69" s="27" t="n">
        <x:f>N69+D69</x:f>
        <x:v>0</x:v>
      </x:c>
      <x:c r="P69" s="26" t="n">
        <x:f>'June 30 Target'!L69</x:f>
        <x:v>0</x:v>
      </x:c>
      <x:c r="Q69" s="27" t="n">
        <x:f>O69-P69</x:f>
        <x:v>0</x:v>
      </x:c>
      <x:c r="R69" s="27" t="n">
        <x:f>G69+D69-B69-C69</x:f>
        <x:v>1.4000000000000004</x:v>
      </x:c>
      <x:c r="S69" s="7" t="str">
        <x:v>Combined primary and secondary purchase</x:v>
      </x:c>
    </x:row>
    <x:row r="70" ht="24" customHeight="1">
      <x:c r="A70" s="3" t="str">
        <x:v>Rushlight AI</x:v>
      </x:c>
      <x:c r="B70" s="24" t="n">
        <x:f>'Portfolio'!K69</x:f>
        <x:v>12.2</x:v>
      </x:c>
      <x:c r="C70" s="24" t="n">
        <x:f>SUMIF('Q2 2026 Activity'!$B$2:$B$20,A70,'Q2 2026 Activity'!$F$2:$F$20)</x:f>
        <x:v>0</x:v>
      </x:c>
      <x:c r="D70" s="24" t="n">
        <x:f>SUMIF('Q2 2026 Activity'!$B$2:$B$20,A70,'Q2 2026 Activity'!$H$2:$H$20)</x:f>
        <x:v>0</x:v>
      </x:c>
      <x:c r="E70" s="25" t="n">
        <x:f>B70</x:f>
        <x:v>12.2</x:v>
      </x:c>
      <x:c r="F70" s="25" t="n">
        <x:f>G70-E70</x:f>
        <x:v>0</x:v>
      </x:c>
      <x:c r="G70" s="25" t="n">
        <x:f>E70</x:f>
        <x:v>12.2</x:v>
      </x:c>
      <x:c r="H70" s="24" t="n">
        <x:f>'June 30 Target'!K70</x:f>
        <x:v>12.2</x:v>
      </x:c>
      <x:c r="I70" s="25" t="n">
        <x:f>G70-H70</x:f>
        <x:v>0</x:v>
      </x:c>
      <x:c r="J70" s="24" t="n">
        <x:f>'Portfolio'!I69</x:f>
        <x:v>10</x:v>
      </x:c>
      <x:c r="K70" s="25" t="n">
        <x:f>J70+C70</x:f>
        <x:v>10</x:v>
      </x:c>
      <x:c r="L70" s="24" t="n">
        <x:f>'June 30 Target'!I70</x:f>
        <x:v>10</x:v>
      </x:c>
      <x:c r="M70" s="25" t="n">
        <x:f>K70-L70</x:f>
        <x:v>0</x:v>
      </x:c>
      <x:c r="N70" s="24" t="n">
        <x:f>'Portfolio'!L69</x:f>
        <x:v>0</x:v>
      </x:c>
      <x:c r="O70" s="25" t="n">
        <x:f>N70+D70</x:f>
        <x:v>0</x:v>
      </x:c>
      <x:c r="P70" s="24" t="n">
        <x:f>'June 30 Target'!L70</x:f>
        <x:v>0</x:v>
      </x:c>
      <x:c r="Q70" s="25" t="n">
        <x:f>O70-P70</x:f>
        <x:v>0</x:v>
      </x:c>
      <x:c r="R70" s="25" t="n">
        <x:f>G70+D70-B70-C70</x:f>
        <x:v>0</x:v>
      </x:c>
      <x:c r="S70" s="3" t="str">
        <x:v>Carry; apply policy screening</x:v>
      </x:c>
    </x:row>
    <x:row r="71" ht="24" customHeight="1">
      <x:c r="A71" s="7" t="str">
        <x:v>Stonegather</x:v>
      </x:c>
      <x:c r="B71" s="26" t="n">
        <x:f>'Portfolio'!K70</x:f>
        <x:v>1.7</x:v>
      </x:c>
      <x:c r="C71" s="26" t="n">
        <x:f>SUMIF('Q2 2026 Activity'!$B$2:$B$20,A71,'Q2 2026 Activity'!$F$2:$F$20)</x:f>
        <x:v>0</x:v>
      </x:c>
      <x:c r="D71" s="26" t="n">
        <x:f>SUMIF('Q2 2026 Activity'!$B$2:$B$20,A71,'Q2 2026 Activity'!$H$2:$H$20)</x:f>
        <x:v>0</x:v>
      </x:c>
      <x:c r="E71" s="27" t="n">
        <x:f>B71</x:f>
        <x:v>1.7</x:v>
      </x:c>
      <x:c r="F71" s="27" t="n">
        <x:f>G71-E71</x:f>
        <x:v>0</x:v>
      </x:c>
      <x:c r="G71" s="27" t="n">
        <x:f>E71</x:f>
        <x:v>1.7</x:v>
      </x:c>
      <x:c r="H71" s="26" t="n">
        <x:f>'June 30 Target'!K71</x:f>
        <x:v>1.7</x:v>
      </x:c>
      <x:c r="I71" s="27" t="n">
        <x:f>G71-H71</x:f>
        <x:v>0</x:v>
      </x:c>
      <x:c r="J71" s="26" t="n">
        <x:f>'Portfolio'!I70</x:f>
        <x:v>1.4</x:v>
      </x:c>
      <x:c r="K71" s="27" t="n">
        <x:f>J71+C71</x:f>
        <x:v>1.4</x:v>
      </x:c>
      <x:c r="L71" s="26" t="n">
        <x:f>'June 30 Target'!I71</x:f>
        <x:v>1.4</x:v>
      </x:c>
      <x:c r="M71" s="27" t="n">
        <x:f>K71-L71</x:f>
        <x:v>0</x:v>
      </x:c>
      <x:c r="N71" s="26" t="n">
        <x:f>'Portfolio'!L70</x:f>
        <x:v>0</x:v>
      </x:c>
      <x:c r="O71" s="27" t="n">
        <x:f>N71+D71</x:f>
        <x:v>0</x:v>
      </x:c>
      <x:c r="P71" s="26" t="n">
        <x:f>'June 30 Target'!L71</x:f>
        <x:v>0</x:v>
      </x:c>
      <x:c r="Q71" s="27" t="n">
        <x:f>O71-P71</x:f>
        <x:v>0</x:v>
      </x:c>
      <x:c r="R71" s="27" t="n">
        <x:f>G71+D71-B71-C71</x:f>
        <x:v>0</x:v>
      </x:c>
      <x:c r="S71" s="7" t="str">
        <x:v>Carry; apply policy screening</x:v>
      </x:c>
    </x:row>
    <x:row r="72" ht="24" customHeight="1">
      <x:c r="A72" s="3" t="str">
        <x:v>Tidewell Health</x:v>
      </x:c>
      <x:c r="B72" s="24" t="n">
        <x:f>'Portfolio'!K71</x:f>
        <x:v>1</x:v>
      </x:c>
      <x:c r="C72" s="24" t="n">
        <x:f>SUMIF('Q2 2026 Activity'!$B$2:$B$20,A72,'Q2 2026 Activity'!$F$2:$F$20)</x:f>
        <x:v>0.2</x:v>
      </x:c>
      <x:c r="D72" s="24" t="n">
        <x:f>SUMIF('Q2 2026 Activity'!$B$2:$B$20,A72,'Q2 2026 Activity'!$H$2:$H$20)</x:f>
        <x:v>0</x:v>
      </x:c>
      <x:c r="E72" s="24" t="n">
        <x:f>'Q2 2026 Activity'!E15*'Q2 2026 Activity'!G15</x:f>
        <x:v>1.2093</x:v>
      </x:c>
      <x:c r="F72" s="25" t="n">
        <x:f>G72-E72</x:f>
        <x:v>-0.009300000000000086</x:v>
      </x:c>
      <x:c r="G72" s="25" t="n">
        <x:f>ROUND(E72,1)</x:f>
        <x:v>1.2</x:v>
      </x:c>
      <x:c r="H72" s="24" t="n">
        <x:f>'June 30 Target'!K72</x:f>
        <x:v>1.2</x:v>
      </x:c>
      <x:c r="I72" s="25" t="n">
        <x:f>G72-H72</x:f>
        <x:v>0</x:v>
      </x:c>
      <x:c r="J72" s="24" t="n">
        <x:f>'Portfolio'!I71</x:f>
        <x:v>1.2</x:v>
      </x:c>
      <x:c r="K72" s="25" t="n">
        <x:f>J72+C72</x:f>
        <x:v>1.4</x:v>
      </x:c>
      <x:c r="L72" s="24" t="n">
        <x:f>'June 30 Target'!I72</x:f>
        <x:v>1.4</x:v>
      </x:c>
      <x:c r="M72" s="25" t="n">
        <x:f>K72-L72</x:f>
        <x:v>0</x:v>
      </x:c>
      <x:c r="N72" s="24" t="n">
        <x:f>'Portfolio'!L71</x:f>
        <x:v>0</x:v>
      </x:c>
      <x:c r="O72" s="25" t="n">
        <x:f>N72+D72</x:f>
        <x:v>0</x:v>
      </x:c>
      <x:c r="P72" s="24" t="n">
        <x:f>'June 30 Target'!L72</x:f>
        <x:v>0</x:v>
      </x:c>
      <x:c r="Q72" s="25" t="n">
        <x:f>O72-P72</x:f>
        <x:v>0</x:v>
      </x:c>
      <x:c r="R72" s="25" t="n">
        <x:f>G72+D72-B72-C72</x:f>
        <x:v>-5.551115123125783e-17</x:v>
      </x:c>
      <x:c r="S72" s="3" t="str">
        <x:v>Note funded and converted within quarter</x:v>
      </x:c>
    </x:row>
    <x:row r="73" ht="24" customHeight="1">
      <x:c r="A73" s="7" t="str">
        <x:v>Umbrelight</x:v>
      </x:c>
      <x:c r="B73" s="26" t="n">
        <x:f>'Portfolio'!K72</x:f>
        <x:v>1.5</x:v>
      </x:c>
      <x:c r="C73" s="26" t="n">
        <x:f>SUMIF('Q2 2026 Activity'!$B$2:$B$20,A73,'Q2 2026 Activity'!$F$2:$F$20)</x:f>
        <x:v>0</x:v>
      </x:c>
      <x:c r="D73" s="26" t="n">
        <x:f>SUMIF('Q2 2026 Activity'!$B$2:$B$20,A73,'Q2 2026 Activity'!$H$2:$H$20)</x:f>
        <x:v>0</x:v>
      </x:c>
      <x:c r="E73" s="27" t="n">
        <x:f>B73</x:f>
        <x:v>1.5</x:v>
      </x:c>
      <x:c r="F73" s="27" t="n">
        <x:f>G73-E73</x:f>
        <x:v>0</x:v>
      </x:c>
      <x:c r="G73" s="27" t="n">
        <x:f>E73</x:f>
        <x:v>1.5</x:v>
      </x:c>
      <x:c r="H73" s="26" t="n">
        <x:f>'June 30 Target'!K73</x:f>
        <x:v>1.5</x:v>
      </x:c>
      <x:c r="I73" s="27" t="n">
        <x:f>G73-H73</x:f>
        <x:v>0</x:v>
      </x:c>
      <x:c r="J73" s="26" t="n">
        <x:f>'Portfolio'!I72</x:f>
        <x:v>1.3</x:v>
      </x:c>
      <x:c r="K73" s="27" t="n">
        <x:f>J73+C73</x:f>
        <x:v>1.3</x:v>
      </x:c>
      <x:c r="L73" s="26" t="n">
        <x:f>'June 30 Target'!I73</x:f>
        <x:v>1.3</x:v>
      </x:c>
      <x:c r="M73" s="27" t="n">
        <x:f>K73-L73</x:f>
        <x:v>0</x:v>
      </x:c>
      <x:c r="N73" s="26" t="n">
        <x:f>'Portfolio'!L72</x:f>
        <x:v>0</x:v>
      </x:c>
      <x:c r="O73" s="27" t="n">
        <x:f>N73+D73</x:f>
        <x:v>0</x:v>
      </x:c>
      <x:c r="P73" s="26" t="n">
        <x:f>'June 30 Target'!L73</x:f>
        <x:v>0</x:v>
      </x:c>
      <x:c r="Q73" s="27" t="n">
        <x:f>O73-P73</x:f>
        <x:v>0</x:v>
      </x:c>
      <x:c r="R73" s="27" t="n">
        <x:f>G73+D73-B73-C73</x:f>
        <x:v>0</x:v>
      </x:c>
      <x:c r="S73" s="7" t="str">
        <x:v>Carry; apply policy screening</x:v>
      </x:c>
    </x:row>
    <x:row r="74" ht="24" customHeight="1">
      <x:c r="A74" s="3" t="str">
        <x:v>Vinecroft</x:v>
      </x:c>
      <x:c r="B74" s="24" t="n">
        <x:f>'Portfolio'!K73</x:f>
        <x:v>22.3</x:v>
      </x:c>
      <x:c r="C74" s="24" t="n">
        <x:f>SUMIF('Q2 2026 Activity'!$B$2:$B$20,A74,'Q2 2026 Activity'!$F$2:$F$20)</x:f>
        <x:v>0</x:v>
      </x:c>
      <x:c r="D74" s="24" t="n">
        <x:f>SUMIF('Q2 2026 Activity'!$B$2:$B$20,A74,'Q2 2026 Activity'!$H$2:$H$20)</x:f>
        <x:v>0</x:v>
      </x:c>
      <x:c r="E74" s="25" t="n">
        <x:f>B74</x:f>
        <x:v>22.3</x:v>
      </x:c>
      <x:c r="F74" s="25" t="n">
        <x:f>G74-E74</x:f>
        <x:v>0</x:v>
      </x:c>
      <x:c r="G74" s="25" t="n">
        <x:f>E74</x:f>
        <x:v>22.3</x:v>
      </x:c>
      <x:c r="H74" s="24" t="n">
        <x:f>'June 30 Target'!K74</x:f>
        <x:v>22.3</x:v>
      </x:c>
      <x:c r="I74" s="25" t="n">
        <x:f>G74-H74</x:f>
        <x:v>0</x:v>
      </x:c>
      <x:c r="J74" s="24" t="n">
        <x:f>'Portfolio'!I73</x:f>
        <x:v>13.5</x:v>
      </x:c>
      <x:c r="K74" s="25" t="n">
        <x:f>J74+C74</x:f>
        <x:v>13.5</x:v>
      </x:c>
      <x:c r="L74" s="24" t="n">
        <x:f>'June 30 Target'!I74</x:f>
        <x:v>13.5</x:v>
      </x:c>
      <x:c r="M74" s="25" t="n">
        <x:f>K74-L74</x:f>
        <x:v>0</x:v>
      </x:c>
      <x:c r="N74" s="24" t="n">
        <x:f>'Portfolio'!L73</x:f>
        <x:v>0</x:v>
      </x:c>
      <x:c r="O74" s="25" t="n">
        <x:f>N74+D74</x:f>
        <x:v>0</x:v>
      </x:c>
      <x:c r="P74" s="24" t="n">
        <x:f>'June 30 Target'!L74</x:f>
        <x:v>0</x:v>
      </x:c>
      <x:c r="Q74" s="25" t="n">
        <x:f>O74-P74</x:f>
        <x:v>0</x:v>
      </x:c>
      <x:c r="R74" s="25" t="n">
        <x:f>G74+D74-B74-C74</x:f>
        <x:v>0</x:v>
      </x:c>
      <x:c r="S74" s="3" t="str">
        <x:v>Carry; apply policy screening</x:v>
      </x:c>
    </x:row>
    <x:row r="75" ht="24" customHeight="1">
      <x:c r="A75" s="7" t="str">
        <x:v>Willowmere Compute</x:v>
      </x:c>
      <x:c r="B75" s="26" t="n">
        <x:f>'Portfolio'!K74</x:f>
        <x:v>4.7</x:v>
      </x:c>
      <x:c r="C75" s="26" t="n">
        <x:f>SUMIF('Q2 2026 Activity'!$B$2:$B$20,A75,'Q2 2026 Activity'!$F$2:$F$20)</x:f>
        <x:v>0</x:v>
      </x:c>
      <x:c r="D75" s="26" t="n">
        <x:f>SUMIF('Q2 2026 Activity'!$B$2:$B$20,A75,'Q2 2026 Activity'!$H$2:$H$20)</x:f>
        <x:v>0</x:v>
      </x:c>
      <x:c r="E75" s="27" t="n">
        <x:f>B75</x:f>
        <x:v>4.7</x:v>
      </x:c>
      <x:c r="F75" s="27" t="n">
        <x:f>G75-E75</x:f>
        <x:v>0</x:v>
      </x:c>
      <x:c r="G75" s="27" t="n">
        <x:f>E75</x:f>
        <x:v>4.7</x:v>
      </x:c>
      <x:c r="H75" s="26" t="n">
        <x:f>'June 30 Target'!K75</x:f>
        <x:v>4.7</x:v>
      </x:c>
      <x:c r="I75" s="27" t="n">
        <x:f>G75-H75</x:f>
        <x:v>0</x:v>
      </x:c>
      <x:c r="J75" s="26" t="n">
        <x:f>'Portfolio'!I74</x:f>
        <x:v>6</x:v>
      </x:c>
      <x:c r="K75" s="27" t="n">
        <x:f>J75+C75</x:f>
        <x:v>6</x:v>
      </x:c>
      <x:c r="L75" s="26" t="n">
        <x:f>'June 30 Target'!I75</x:f>
        <x:v>6</x:v>
      </x:c>
      <x:c r="M75" s="27" t="n">
        <x:f>K75-L75</x:f>
        <x:v>0</x:v>
      </x:c>
      <x:c r="N75" s="26" t="n">
        <x:f>'Portfolio'!L74</x:f>
        <x:v>0</x:v>
      </x:c>
      <x:c r="O75" s="27" t="n">
        <x:f>N75+D75</x:f>
        <x:v>0</x:v>
      </x:c>
      <x:c r="P75" s="26" t="n">
        <x:f>'June 30 Target'!L75</x:f>
        <x:v>0</x:v>
      </x:c>
      <x:c r="Q75" s="27" t="n">
        <x:f>O75-P75</x:f>
        <x:v>0</x:v>
      </x:c>
      <x:c r="R75" s="27" t="n">
        <x:f>G75+D75-B75-C75</x:f>
        <x:v>0</x:v>
      </x:c>
      <x:c r="S75" s="7" t="str">
        <x:v>Carry; apply policy screening</x:v>
      </x:c>
    </x:row>
    <x:row r="76" ht="24" customHeight="1">
      <x:c r="A76" s="3" t="str">
        <x:v>Xylotta</x:v>
      </x:c>
      <x:c r="B76" s="24" t="n">
        <x:f>'Portfolio'!K75</x:f>
        <x:v>57.1</x:v>
      </x:c>
      <x:c r="C76" s="24" t="n">
        <x:f>SUMIF('Q2 2026 Activity'!$B$2:$B$20,A76,'Q2 2026 Activity'!$F$2:$F$20)</x:f>
        <x:v>0</x:v>
      </x:c>
      <x:c r="D76" s="24" t="n">
        <x:f>SUMIF('Q2 2026 Activity'!$B$2:$B$20,A76,'Q2 2026 Activity'!$H$2:$H$20)</x:f>
        <x:v>0</x:v>
      </x:c>
      <x:c r="E76" s="25" t="n">
        <x:f>B76</x:f>
        <x:v>57.1</x:v>
      </x:c>
      <x:c r="F76" s="25" t="n">
        <x:f>G76-E76</x:f>
        <x:v>0</x:v>
      </x:c>
      <x:c r="G76" s="25" t="n">
        <x:f>E76</x:f>
        <x:v>57.1</x:v>
      </x:c>
      <x:c r="H76" s="24" t="n">
        <x:f>'June 30 Target'!K76</x:f>
        <x:v>57.1</x:v>
      </x:c>
      <x:c r="I76" s="25" t="n">
        <x:f>G76-H76</x:f>
        <x:v>0</x:v>
      </x:c>
      <x:c r="J76" s="24" t="n">
        <x:f>'Portfolio'!I75</x:f>
        <x:v>20</x:v>
      </x:c>
      <x:c r="K76" s="25" t="n">
        <x:f>J76+C76</x:f>
        <x:v>20</x:v>
      </x:c>
      <x:c r="L76" s="24" t="n">
        <x:f>'June 30 Target'!I76</x:f>
        <x:v>20</x:v>
      </x:c>
      <x:c r="M76" s="25" t="n">
        <x:f>K76-L76</x:f>
        <x:v>0</x:v>
      </x:c>
      <x:c r="N76" s="24" t="n">
        <x:f>'Portfolio'!L75</x:f>
        <x:v>0</x:v>
      </x:c>
      <x:c r="O76" s="25" t="n">
        <x:f>N76+D76</x:f>
        <x:v>0</x:v>
      </x:c>
      <x:c r="P76" s="24" t="n">
        <x:f>'June 30 Target'!L76</x:f>
        <x:v>0</x:v>
      </x:c>
      <x:c r="Q76" s="25" t="n">
        <x:f>O76-P76</x:f>
        <x:v>0</x:v>
      </x:c>
      <x:c r="R76" s="25" t="n">
        <x:f>G76+D76-B76-C76</x:f>
        <x:v>0</x:v>
      </x:c>
      <x:c r="S76" s="3" t="str">
        <x:v>Carry; apply policy screening</x:v>
      </x:c>
    </x:row>
    <x:row r="77" ht="24" customHeight="1">
      <x:c r="A77" s="7" t="str">
        <x:v>Yewbranch Security</x:v>
      </x:c>
      <x:c r="B77" s="26" t="n">
        <x:f>'Portfolio'!K76</x:f>
        <x:v>2.5</x:v>
      </x:c>
      <x:c r="C77" s="26" t="n">
        <x:f>SUMIF('Q2 2026 Activity'!$B$2:$B$20,A77,'Q2 2026 Activity'!$F$2:$F$20)</x:f>
        <x:v>0</x:v>
      </x:c>
      <x:c r="D77" s="26" t="n">
        <x:f>SUMIF('Q2 2026 Activity'!$B$2:$B$20,A77,'Q2 2026 Activity'!$H$2:$H$20)</x:f>
        <x:v>0</x:v>
      </x:c>
      <x:c r="E77" s="27" t="n">
        <x:f>B77</x:f>
        <x:v>2.5</x:v>
      </x:c>
      <x:c r="F77" s="27" t="n">
        <x:f>G77-E77</x:f>
        <x:v>0</x:v>
      </x:c>
      <x:c r="G77" s="27" t="n">
        <x:f>E77</x:f>
        <x:v>2.5</x:v>
      </x:c>
      <x:c r="H77" s="26" t="n">
        <x:f>'June 30 Target'!K77</x:f>
        <x:v>2.5</x:v>
      </x:c>
      <x:c r="I77" s="27" t="n">
        <x:f>G77-H77</x:f>
        <x:v>0</x:v>
      </x:c>
      <x:c r="J77" s="26" t="n">
        <x:f>'Portfolio'!I76</x:f>
        <x:v>2.5</x:v>
      </x:c>
      <x:c r="K77" s="27" t="n">
        <x:f>J77+C77</x:f>
        <x:v>2.5</x:v>
      </x:c>
      <x:c r="L77" s="26" t="n">
        <x:f>'June 30 Target'!I77</x:f>
        <x:v>2.5</x:v>
      </x:c>
      <x:c r="M77" s="27" t="n">
        <x:f>K77-L77</x:f>
        <x:v>0</x:v>
      </x:c>
      <x:c r="N77" s="26" t="n">
        <x:f>'Portfolio'!L76</x:f>
        <x:v>0</x:v>
      </x:c>
      <x:c r="O77" s="27" t="n">
        <x:f>N77+D77</x:f>
        <x:v>0</x:v>
      </x:c>
      <x:c r="P77" s="26" t="n">
        <x:f>'June 30 Target'!L77</x:f>
        <x:v>0</x:v>
      </x:c>
      <x:c r="Q77" s="27" t="n">
        <x:f>O77-P77</x:f>
        <x:v>0</x:v>
      </x:c>
      <x:c r="R77" s="27" t="n">
        <x:f>G77+D77-B77-C77</x:f>
        <x:v>0</x:v>
      </x:c>
      <x:c r="S77" s="7" t="str">
        <x:v>Carry; apply policy screening</x:v>
      </x:c>
    </x:row>
    <x:row r="78" ht="24" customHeight="1">
      <x:c r="A78" s="3" t="str">
        <x:v>Zealwick</x:v>
      </x:c>
      <x:c r="B78" s="24" t="n">
        <x:f>'Portfolio'!K77</x:f>
        <x:v>3.4</x:v>
      </x:c>
      <x:c r="C78" s="24" t="n">
        <x:f>SUMIF('Q2 2026 Activity'!$B$2:$B$20,A78,'Q2 2026 Activity'!$F$2:$F$20)</x:f>
        <x:v>0</x:v>
      </x:c>
      <x:c r="D78" s="24" t="n">
        <x:f>SUMIF('Q2 2026 Activity'!$B$2:$B$20,A78,'Q2 2026 Activity'!$H$2:$H$20)</x:f>
        <x:v>0</x:v>
      </x:c>
      <x:c r="E78" s="25" t="n">
        <x:f>B78</x:f>
        <x:v>3.4</x:v>
      </x:c>
      <x:c r="F78" s="25" t="n">
        <x:f>G78-E78</x:f>
        <x:v>0</x:v>
      </x:c>
      <x:c r="G78" s="25" t="n">
        <x:f>E78</x:f>
        <x:v>3.4</x:v>
      </x:c>
      <x:c r="H78" s="24" t="n">
        <x:f>'June 30 Target'!K78</x:f>
        <x:v>3.4</x:v>
      </x:c>
      <x:c r="I78" s="25" t="n">
        <x:f>G78-H78</x:f>
        <x:v>0</x:v>
      </x:c>
      <x:c r="J78" s="24" t="n">
        <x:f>'Portfolio'!I77</x:f>
        <x:v>4</x:v>
      </x:c>
      <x:c r="K78" s="25" t="n">
        <x:f>J78+C78</x:f>
        <x:v>4</x:v>
      </x:c>
      <x:c r="L78" s="24" t="n">
        <x:f>'June 30 Target'!I78</x:f>
        <x:v>4</x:v>
      </x:c>
      <x:c r="M78" s="25" t="n">
        <x:f>K78-L78</x:f>
        <x:v>0</x:v>
      </x:c>
      <x:c r="N78" s="24" t="n">
        <x:f>'Portfolio'!L77</x:f>
        <x:v>0</x:v>
      </x:c>
      <x:c r="O78" s="25" t="n">
        <x:f>N78+D78</x:f>
        <x:v>0</x:v>
      </x:c>
      <x:c r="P78" s="24" t="n">
        <x:f>'June 30 Target'!L78</x:f>
        <x:v>0</x:v>
      </x:c>
      <x:c r="Q78" s="25" t="n">
        <x:f>O78-P78</x:f>
        <x:v>0</x:v>
      </x:c>
      <x:c r="R78" s="25" t="n">
        <x:f>G78+D78-B78-C78</x:f>
        <x:v>0</x:v>
      </x:c>
      <x:c r="S78" s="3" t="str">
        <x:v>Carry; apply policy screening</x:v>
      </x:c>
    </x:row>
    <x:row r="79" ht="24" customHeight="1">
      <x:c r="A79" s="7" t="str">
        <x:v>Alderpoint</x:v>
      </x:c>
      <x:c r="B79" s="26" t="n">
        <x:f>'Portfolio'!K78</x:f>
        <x:v>1.3</x:v>
      </x:c>
      <x:c r="C79" s="26" t="n">
        <x:f>SUMIF('Q2 2026 Activity'!$B$2:$B$20,A79,'Q2 2026 Activity'!$F$2:$F$20)</x:f>
        <x:v>0</x:v>
      </x:c>
      <x:c r="D79" s="26" t="n">
        <x:f>SUMIF('Q2 2026 Activity'!$B$2:$B$20,A79,'Q2 2026 Activity'!$H$2:$H$20)</x:f>
        <x:v>0</x:v>
      </x:c>
      <x:c r="E79" s="27" t="n">
        <x:f>B79</x:f>
        <x:v>1.3</x:v>
      </x:c>
      <x:c r="F79" s="27" t="n">
        <x:f>G79-E79</x:f>
        <x:v>0</x:v>
      </x:c>
      <x:c r="G79" s="27" t="n">
        <x:f>E79</x:f>
        <x:v>1.3</x:v>
      </x:c>
      <x:c r="H79" s="26" t="n">
        <x:f>'June 30 Target'!K79</x:f>
        <x:v>1.3</x:v>
      </x:c>
      <x:c r="I79" s="27" t="n">
        <x:f>G79-H79</x:f>
        <x:v>0</x:v>
      </x:c>
      <x:c r="J79" s="26" t="n">
        <x:f>'Portfolio'!I78</x:f>
        <x:v>1</x:v>
      </x:c>
      <x:c r="K79" s="27" t="n">
        <x:f>J79+C79</x:f>
        <x:v>1</x:v>
      </x:c>
      <x:c r="L79" s="26" t="n">
        <x:f>'June 30 Target'!I79</x:f>
        <x:v>1</x:v>
      </x:c>
      <x:c r="M79" s="27" t="n">
        <x:f>K79-L79</x:f>
        <x:v>0</x:v>
      </x:c>
      <x:c r="N79" s="26" t="n">
        <x:f>'Portfolio'!L78</x:f>
        <x:v>0</x:v>
      </x:c>
      <x:c r="O79" s="27" t="n">
        <x:f>N79+D79</x:f>
        <x:v>0</x:v>
      </x:c>
      <x:c r="P79" s="26" t="n">
        <x:f>'June 30 Target'!L79</x:f>
        <x:v>0</x:v>
      </x:c>
      <x:c r="Q79" s="27" t="n">
        <x:f>O79-P79</x:f>
        <x:v>0</x:v>
      </x:c>
      <x:c r="R79" s="27" t="n">
        <x:f>G79+D79-B79-C79</x:f>
        <x:v>0</x:v>
      </x:c>
      <x:c r="S79" s="7" t="str">
        <x:v>Carry; apply policy screening</x:v>
      </x:c>
    </x:row>
    <x:row r="80" ht="24" customHeight="1">
      <x:c r="A80" s="3" t="str">
        <x:v>Brackenvale</x:v>
      </x:c>
      <x:c r="B80" s="24" t="n">
        <x:f>'Portfolio'!K79</x:f>
        <x:v>8.7</x:v>
      </x:c>
      <x:c r="C80" s="24" t="n">
        <x:f>SUMIF('Q2 2026 Activity'!$B$2:$B$20,A80,'Q2 2026 Activity'!$F$2:$F$20)</x:f>
        <x:v>0</x:v>
      </x:c>
      <x:c r="D80" s="24" t="n">
        <x:f>SUMIF('Q2 2026 Activity'!$B$2:$B$20,A80,'Q2 2026 Activity'!$H$2:$H$20)</x:f>
        <x:v>0</x:v>
      </x:c>
      <x:c r="E80" s="25" t="n">
        <x:f>B80</x:f>
        <x:v>8.7</x:v>
      </x:c>
      <x:c r="F80" s="25" t="n">
        <x:f>G80-E80</x:f>
        <x:v>0</x:v>
      </x:c>
      <x:c r="G80" s="25" t="n">
        <x:f>E80</x:f>
        <x:v>8.7</x:v>
      </x:c>
      <x:c r="H80" s="24" t="n">
        <x:f>'June 30 Target'!K80</x:f>
        <x:v>8.7</x:v>
      </x:c>
      <x:c r="I80" s="25" t="n">
        <x:f>G80-H80</x:f>
        <x:v>0</x:v>
      </x:c>
      <x:c r="J80" s="24" t="n">
        <x:f>'Portfolio'!I79</x:f>
        <x:v>6</x:v>
      </x:c>
      <x:c r="K80" s="25" t="n">
        <x:f>J80+C80</x:f>
        <x:v>6</x:v>
      </x:c>
      <x:c r="L80" s="24" t="n">
        <x:f>'June 30 Target'!I80</x:f>
        <x:v>6</x:v>
      </x:c>
      <x:c r="M80" s="25" t="n">
        <x:f>K80-L80</x:f>
        <x:v>0</x:v>
      </x:c>
      <x:c r="N80" s="24" t="n">
        <x:f>'Portfolio'!L79</x:f>
        <x:v>0</x:v>
      </x:c>
      <x:c r="O80" s="25" t="n">
        <x:f>N80+D80</x:f>
        <x:v>0</x:v>
      </x:c>
      <x:c r="P80" s="24" t="n">
        <x:f>'June 30 Target'!L80</x:f>
        <x:v>0</x:v>
      </x:c>
      <x:c r="Q80" s="25" t="n">
        <x:f>O80-P80</x:f>
        <x:v>0</x:v>
      </x:c>
      <x:c r="R80" s="25" t="n">
        <x:f>G80+D80-B80-C80</x:f>
        <x:v>0</x:v>
      </x:c>
      <x:c r="S80" s="3" t="str">
        <x:v>Carry; apply policy screening</x:v>
      </x:c>
    </x:row>
    <x:row r="81" ht="24" customHeight="1">
      <x:c r="A81" s="7" t="str">
        <x:v>Coppermoss Energy</x:v>
      </x:c>
      <x:c r="B81" s="26" t="n">
        <x:f>'Portfolio'!K80</x:f>
        <x:v>2.6</x:v>
      </x:c>
      <x:c r="C81" s="26" t="n">
        <x:f>SUMIF('Q2 2026 Activity'!$B$2:$B$20,A81,'Q2 2026 Activity'!$F$2:$F$20)</x:f>
        <x:v>0</x:v>
      </x:c>
      <x:c r="D81" s="26" t="n">
        <x:f>SUMIF('Q2 2026 Activity'!$B$2:$B$20,A81,'Q2 2026 Activity'!$H$2:$H$20)</x:f>
        <x:v>0</x:v>
      </x:c>
      <x:c r="E81" s="27" t="n">
        <x:f>B81</x:f>
        <x:v>2.6</x:v>
      </x:c>
      <x:c r="F81" s="27" t="n">
        <x:f>G81-E81</x:f>
        <x:v>0</x:v>
      </x:c>
      <x:c r="G81" s="27" t="n">
        <x:f>E81</x:f>
        <x:v>2.6</x:v>
      </x:c>
      <x:c r="H81" s="26" t="n">
        <x:f>'June 30 Target'!K81</x:f>
        <x:v>2.6</x:v>
      </x:c>
      <x:c r="I81" s="27" t="n">
        <x:f>G81-H81</x:f>
        <x:v>0</x:v>
      </x:c>
      <x:c r="J81" s="26" t="n">
        <x:f>'Portfolio'!I80</x:f>
        <x:v>2.4</x:v>
      </x:c>
      <x:c r="K81" s="27" t="n">
        <x:f>J81+C81</x:f>
        <x:v>2.4</x:v>
      </x:c>
      <x:c r="L81" s="26" t="n">
        <x:f>'June 30 Target'!I81</x:f>
        <x:v>2.4</x:v>
      </x:c>
      <x:c r="M81" s="27" t="n">
        <x:f>K81-L81</x:f>
        <x:v>0</x:v>
      </x:c>
      <x:c r="N81" s="26" t="n">
        <x:f>'Portfolio'!L80</x:f>
        <x:v>0</x:v>
      </x:c>
      <x:c r="O81" s="27" t="n">
        <x:f>N81+D81</x:f>
        <x:v>0</x:v>
      </x:c>
      <x:c r="P81" s="26" t="n">
        <x:f>'June 30 Target'!L81</x:f>
        <x:v>0</x:v>
      </x:c>
      <x:c r="Q81" s="27" t="n">
        <x:f>O81-P81</x:f>
        <x:v>0</x:v>
      </x:c>
      <x:c r="R81" s="27" t="n">
        <x:f>G81+D81-B81-C81</x:f>
        <x:v>0</x:v>
      </x:c>
      <x:c r="S81" s="7" t="str">
        <x:v>Carry; apply policy screening</x:v>
      </x:c>
    </x:row>
    <x:row r="82" ht="24" customHeight="1">
      <x:c r="A82" s="3" t="str">
        <x:v>Dellforge</x:v>
      </x:c>
      <x:c r="B82" s="24" t="n">
        <x:f>'Portfolio'!K81</x:f>
        <x:v>27.8</x:v>
      </x:c>
      <x:c r="C82" s="24" t="n">
        <x:f>SUMIF('Q2 2026 Activity'!$B$2:$B$20,A82,'Q2 2026 Activity'!$F$2:$F$20)</x:f>
        <x:v>0</x:v>
      </x:c>
      <x:c r="D82" s="24" t="n">
        <x:f>SUMIF('Q2 2026 Activity'!$B$2:$B$20,A82,'Q2 2026 Activity'!$H$2:$H$20)</x:f>
        <x:v>0</x:v>
      </x:c>
      <x:c r="E82" s="25" t="n">
        <x:f>B82</x:f>
        <x:v>27.8</x:v>
      </x:c>
      <x:c r="F82" s="25" t="n">
        <x:f>G82-E82</x:f>
        <x:v>0</x:v>
      </x:c>
      <x:c r="G82" s="25" t="n">
        <x:f>E82</x:f>
        <x:v>27.8</x:v>
      </x:c>
      <x:c r="H82" s="24" t="n">
        <x:f>'June 30 Target'!K82</x:f>
        <x:v>27.8</x:v>
      </x:c>
      <x:c r="I82" s="25" t="n">
        <x:f>G82-H82</x:f>
        <x:v>0</x:v>
      </x:c>
      <x:c r="J82" s="24" t="n">
        <x:f>'Portfolio'!I81</x:f>
        <x:v>14.4</x:v>
      </x:c>
      <x:c r="K82" s="25" t="n">
        <x:f>J82+C82</x:f>
        <x:v>14.4</x:v>
      </x:c>
      <x:c r="L82" s="24" t="n">
        <x:f>'June 30 Target'!I82</x:f>
        <x:v>14.4</x:v>
      </x:c>
      <x:c r="M82" s="25" t="n">
        <x:f>K82-L82</x:f>
        <x:v>0</x:v>
      </x:c>
      <x:c r="N82" s="24" t="n">
        <x:f>'Portfolio'!L81</x:f>
        <x:v>0</x:v>
      </x:c>
      <x:c r="O82" s="25" t="n">
        <x:f>N82+D82</x:f>
        <x:v>0</x:v>
      </x:c>
      <x:c r="P82" s="24" t="n">
        <x:f>'June 30 Target'!L82</x:f>
        <x:v>0</x:v>
      </x:c>
      <x:c r="Q82" s="25" t="n">
        <x:f>O82-P82</x:f>
        <x:v>0</x:v>
      </x:c>
      <x:c r="R82" s="25" t="n">
        <x:f>G82+D82-B82-C82</x:f>
        <x:v>0</x:v>
      </x:c>
      <x:c r="S82" s="3" t="str">
        <x:v>Carry; apply policy screening</x:v>
      </x:c>
    </x:row>
    <x:row r="83" ht="24" customHeight="1">
      <x:c r="A83" s="7" t="str">
        <x:v>Everbrook Analytics</x:v>
      </x:c>
      <x:c r="B83" s="26" t="n">
        <x:f>'Portfolio'!K82</x:f>
        <x:v>1.9</x:v>
      </x:c>
      <x:c r="C83" s="26" t="n">
        <x:f>SUMIF('Q2 2026 Activity'!$B$2:$B$20,A83,'Q2 2026 Activity'!$F$2:$F$20)</x:f>
        <x:v>0</x:v>
      </x:c>
      <x:c r="D83" s="26" t="n">
        <x:f>SUMIF('Q2 2026 Activity'!$B$2:$B$20,A83,'Q2 2026 Activity'!$H$2:$H$20)</x:f>
        <x:v>0</x:v>
      </x:c>
      <x:c r="E83" s="27" t="n">
        <x:f>0</x:f>
        <x:v>0</x:v>
      </x:c>
      <x:c r="F83" s="27" t="n">
        <x:f>G83-E83</x:f>
        <x:v>0</x:v>
      </x:c>
      <x:c r="G83" s="27" t="n">
        <x:f>E83</x:f>
        <x:v>0</x:v>
      </x:c>
      <x:c r="H83" s="26" t="n">
        <x:f>'June 30 Target'!K83</x:f>
        <x:v>0</x:v>
      </x:c>
      <x:c r="I83" s="27" t="n">
        <x:f>G83-H83</x:f>
        <x:v>0</x:v>
      </x:c>
      <x:c r="J83" s="26" t="n">
        <x:f>'Portfolio'!I82</x:f>
        <x:v>5.3</x:v>
      </x:c>
      <x:c r="K83" s="27" t="n">
        <x:f>J83+C83</x:f>
        <x:v>5.3</x:v>
      </x:c>
      <x:c r="L83" s="26" t="n">
        <x:f>'June 30 Target'!I83</x:f>
        <x:v>5.3</x:v>
      </x:c>
      <x:c r="M83" s="27" t="n">
        <x:f>K83-L83</x:f>
        <x:v>0</x:v>
      </x:c>
      <x:c r="N83" s="26" t="n">
        <x:f>'Portfolio'!L82</x:f>
        <x:v>0</x:v>
      </x:c>
      <x:c r="O83" s="27" t="n">
        <x:f>N83+D83</x:f>
        <x:v>0</x:v>
      </x:c>
      <x:c r="P83" s="26" t="n">
        <x:f>'June 30 Target'!L83</x:f>
        <x:v>0</x:v>
      </x:c>
      <x:c r="Q83" s="27" t="n">
        <x:f>O83-P83</x:f>
        <x:v>0</x:v>
      </x:c>
      <x:c r="R83" s="27" t="n">
        <x:f>G83+D83-B83-C83</x:f>
        <x:v>-1.9</x:v>
      </x:c>
      <x:c r="S83" s="7" t="str">
        <x:v>Shutdown with explicit zero recovery</x:v>
      </x:c>
    </x:row>
    <x:row r="84" ht="24" customHeight="1">
      <x:c r="A84" s="3" t="str">
        <x:v>Fenwright</x:v>
      </x:c>
      <x:c r="B84" s="24" t="n">
        <x:f>'Portfolio'!K83</x:f>
        <x:v>10.8</x:v>
      </x:c>
      <x:c r="C84" s="24" t="n">
        <x:f>SUMIF('Q2 2026 Activity'!$B$2:$B$20,A84,'Q2 2026 Activity'!$F$2:$F$20)</x:f>
        <x:v>0</x:v>
      </x:c>
      <x:c r="D84" s="24" t="n">
        <x:f>SUMIF('Q2 2026 Activity'!$B$2:$B$20,A84,'Q2 2026 Activity'!$H$2:$H$20)</x:f>
        <x:v>0</x:v>
      </x:c>
      <x:c r="E84" s="25" t="n">
        <x:f>B84</x:f>
        <x:v>10.8</x:v>
      </x:c>
      <x:c r="F84" s="25" t="n">
        <x:f>G84-E84</x:f>
        <x:v>0</x:v>
      </x:c>
      <x:c r="G84" s="25" t="n">
        <x:f>E84</x:f>
        <x:v>10.8</x:v>
      </x:c>
      <x:c r="H84" s="24" t="n">
        <x:f>'June 30 Target'!K84</x:f>
        <x:v>10.8</x:v>
      </x:c>
      <x:c r="I84" s="25" t="n">
        <x:f>G84-H84</x:f>
        <x:v>0</x:v>
      </x:c>
      <x:c r="J84" s="24" t="n">
        <x:f>'Portfolio'!I83</x:f>
        <x:v>12.4</x:v>
      </x:c>
      <x:c r="K84" s="25" t="n">
        <x:f>J84+C84</x:f>
        <x:v>12.4</x:v>
      </x:c>
      <x:c r="L84" s="24" t="n">
        <x:f>'June 30 Target'!I84</x:f>
        <x:v>12.4</x:v>
      </x:c>
      <x:c r="M84" s="25" t="n">
        <x:f>K84-L84</x:f>
        <x:v>0</x:v>
      </x:c>
      <x:c r="N84" s="24" t="n">
        <x:f>'Portfolio'!L83</x:f>
        <x:v>0</x:v>
      </x:c>
      <x:c r="O84" s="25" t="n">
        <x:f>N84+D84</x:f>
        <x:v>0</x:v>
      </x:c>
      <x:c r="P84" s="24" t="n">
        <x:f>'June 30 Target'!L84</x:f>
        <x:v>0</x:v>
      </x:c>
      <x:c r="Q84" s="25" t="n">
        <x:f>O84-P84</x:f>
        <x:v>0</x:v>
      </x:c>
      <x:c r="R84" s="25" t="n">
        <x:f>G84+D84-B84-C84</x:f>
        <x:v>0</x:v>
      </x:c>
      <x:c r="S84" s="3" t="str">
        <x:v>Carry; apply policy screening</x:v>
      </x:c>
    </x:row>
    <x:row r="85" ht="24" customHeight="1">
      <x:c r="A85" s="7" t="str">
        <x:v>Gablewood</x:v>
      </x:c>
      <x:c r="B85" s="26" t="n">
        <x:f>'Portfolio'!K84</x:f>
        <x:v>0.6</x:v>
      </x:c>
      <x:c r="C85" s="26" t="n">
        <x:f>SUMIF('Q2 2026 Activity'!$B$2:$B$20,A85,'Q2 2026 Activity'!$F$2:$F$20)</x:f>
        <x:v>0</x:v>
      </x:c>
      <x:c r="D85" s="26" t="n">
        <x:f>SUMIF('Q2 2026 Activity'!$B$2:$B$20,A85,'Q2 2026 Activity'!$H$2:$H$20)</x:f>
        <x:v>0</x:v>
      </x:c>
      <x:c r="E85" s="27" t="n">
        <x:f>B85</x:f>
        <x:v>0.6</x:v>
      </x:c>
      <x:c r="F85" s="27" t="n">
        <x:f>G85-E85</x:f>
        <x:v>0</x:v>
      </x:c>
      <x:c r="G85" s="27" t="n">
        <x:f>E85</x:f>
        <x:v>0.6</x:v>
      </x:c>
      <x:c r="H85" s="26" t="n">
        <x:f>'June 30 Target'!K85</x:f>
        <x:v>0.6</x:v>
      </x:c>
      <x:c r="I85" s="27" t="n">
        <x:f>G85-H85</x:f>
        <x:v>0</x:v>
      </x:c>
      <x:c r="J85" s="26" t="n">
        <x:f>'Portfolio'!I84</x:f>
        <x:v>1</x:v>
      </x:c>
      <x:c r="K85" s="27" t="n">
        <x:f>J85+C85</x:f>
        <x:v>1</x:v>
      </x:c>
      <x:c r="L85" s="26" t="n">
        <x:f>'June 30 Target'!I85</x:f>
        <x:v>1</x:v>
      </x:c>
      <x:c r="M85" s="27" t="n">
        <x:f>K85-L85</x:f>
        <x:v>0</x:v>
      </x:c>
      <x:c r="N85" s="26" t="n">
        <x:f>'Portfolio'!L84</x:f>
        <x:v>0</x:v>
      </x:c>
      <x:c r="O85" s="27" t="n">
        <x:f>N85+D85</x:f>
        <x:v>0</x:v>
      </x:c>
      <x:c r="P85" s="26" t="n">
        <x:f>'June 30 Target'!L85</x:f>
        <x:v>0</x:v>
      </x:c>
      <x:c r="Q85" s="27" t="n">
        <x:f>O85-P85</x:f>
        <x:v>0</x:v>
      </x:c>
      <x:c r="R85" s="27" t="n">
        <x:f>G85+D85-B85-C85</x:f>
        <x:v>0</x:v>
      </x:c>
      <x:c r="S85" s="7" t="str">
        <x:v>Carry; apply policy screening</x:v>
      </x:c>
    </x:row>
    <x:row r="86" ht="24" customHeight="1">
      <x:c r="A86" s="3" t="str">
        <x:v>Harrowgate Bio</x:v>
      </x:c>
      <x:c r="B86" s="25" t="n">
        <x:f>0</x:f>
        <x:v>0</x:v>
      </x:c>
      <x:c r="C86" s="24" t="n">
        <x:f>SUMIF('Q2 2026 Activity'!$B$2:$B$20,A86,'Q2 2026 Activity'!$F$2:$F$20)</x:f>
        <x:v>5.4</x:v>
      </x:c>
      <x:c r="D86" s="24" t="n">
        <x:f>SUMIF('Q2 2026 Activity'!$B$2:$B$20,A86,'Q2 2026 Activity'!$H$2:$H$20)</x:f>
        <x:v>0</x:v>
      </x:c>
      <x:c r="E86" s="24" t="n">
        <x:f>'Q2 2026 Activity'!E4*'Q2 2026 Activity'!G4</x:f>
        <x:v>6.083000000000001</x:v>
      </x:c>
      <x:c r="F86" s="25" t="n">
        <x:f>G86-E86</x:f>
        <x:v>0.016999999999998572</x:v>
      </x:c>
      <x:c r="G86" s="25" t="n">
        <x:f>ROUND(E86,1)</x:f>
        <x:v>6.1</x:v>
      </x:c>
      <x:c r="H86" s="24" t="n">
        <x:f>'June 30 Target'!K86</x:f>
        <x:v>6.1</x:v>
      </x:c>
      <x:c r="I86" s="25" t="n">
        <x:f>G86-H86</x:f>
        <x:v>0</x:v>
      </x:c>
      <x:c r="J86" s="25" t="n">
        <x:f>0</x:f>
        <x:v>0</x:v>
      </x:c>
      <x:c r="K86" s="25" t="n">
        <x:f>J86+C86</x:f>
        <x:v>5.4</x:v>
      </x:c>
      <x:c r="L86" s="24" t="n">
        <x:f>'June 30 Target'!I86</x:f>
        <x:v>5.4</x:v>
      </x:c>
      <x:c r="M86" s="25" t="n">
        <x:f>K86-L86</x:f>
        <x:v>0</x:v>
      </x:c>
      <x:c r="N86" s="25" t="n">
        <x:f>0</x:f>
        <x:v>0</x:v>
      </x:c>
      <x:c r="O86" s="25" t="n">
        <x:f>N86+D86</x:f>
        <x:v>0</x:v>
      </x:c>
      <x:c r="P86" s="24" t="n">
        <x:f>'June 30 Target'!L86</x:f>
        <x:v>0</x:v>
      </x:c>
      <x:c r="Q86" s="25" t="n">
        <x:f>O86-P86</x:f>
        <x:v>0</x:v>
      </x:c>
      <x:c r="R86" s="25" t="n">
        <x:f>G86+D86-B86-C86</x:f>
        <x:v>0.6999999999999993</x:v>
      </x:c>
      <x:c r="S86" s="3" t="str">
        <x:v>New company / initial investment</x:v>
      </x:c>
    </x:row>
    <x:row r="87" ht="24" customHeight="1">
      <x:c r="A87" s="7" t="str">
        <x:v>Islewind</x:v>
      </x:c>
      <x:c r="B87" s="26" t="n">
        <x:f>'Portfolio'!K85</x:f>
        <x:v>10</x:v>
      </x:c>
      <x:c r="C87" s="26" t="n">
        <x:f>SUMIF('Q2 2026 Activity'!$B$2:$B$20,A87,'Q2 2026 Activity'!$F$2:$F$20)</x:f>
        <x:v>0</x:v>
      </x:c>
      <x:c r="D87" s="26" t="n">
        <x:f>SUMIF('Q2 2026 Activity'!$B$2:$B$20,A87,'Q2 2026 Activity'!$H$2:$H$20)</x:f>
        <x:v>0</x:v>
      </x:c>
      <x:c r="E87" s="27" t="n">
        <x:f>B87</x:f>
        <x:v>10</x:v>
      </x:c>
      <x:c r="F87" s="27" t="n">
        <x:f>G87-E87</x:f>
        <x:v>0</x:v>
      </x:c>
      <x:c r="G87" s="27" t="n">
        <x:f>E87</x:f>
        <x:v>10</x:v>
      </x:c>
      <x:c r="H87" s="26" t="n">
        <x:f>'June 30 Target'!K87</x:f>
        <x:v>10</x:v>
      </x:c>
      <x:c r="I87" s="27" t="n">
        <x:f>G87-H87</x:f>
        <x:v>0</x:v>
      </x:c>
      <x:c r="J87" s="26" t="n">
        <x:f>'Portfolio'!I85</x:f>
        <x:v>10</x:v>
      </x:c>
      <x:c r="K87" s="27" t="n">
        <x:f>J87+C87</x:f>
        <x:v>10</x:v>
      </x:c>
      <x:c r="L87" s="26" t="n">
        <x:f>'June 30 Target'!I87</x:f>
        <x:v>10</x:v>
      </x:c>
      <x:c r="M87" s="27" t="n">
        <x:f>K87-L87</x:f>
        <x:v>0</x:v>
      </x:c>
      <x:c r="N87" s="26" t="n">
        <x:f>'Portfolio'!L85</x:f>
        <x:v>0</x:v>
      </x:c>
      <x:c r="O87" s="27" t="n">
        <x:f>N87+D87</x:f>
        <x:v>0</x:v>
      </x:c>
      <x:c r="P87" s="26" t="n">
        <x:f>'June 30 Target'!L87</x:f>
        <x:v>0</x:v>
      </x:c>
      <x:c r="Q87" s="27" t="n">
        <x:f>O87-P87</x:f>
        <x:v>0</x:v>
      </x:c>
      <x:c r="R87" s="27" t="n">
        <x:f>G87+D87-B87-C87</x:f>
        <x:v>0</x:v>
      </x:c>
      <x:c r="S87" s="7" t="str">
        <x:v>Carry; apply policy screening</x:v>
      </x:c>
    </x:row>
    <x:row r="88" ht="24" customHeight="1">
      <x:c r="A88" s="3" t="str">
        <x:v>Juttermill</x:v>
      </x:c>
      <x:c r="B88" s="24" t="n">
        <x:f>'Portfolio'!K86</x:f>
        <x:v>0.7</x:v>
      </x:c>
      <x:c r="C88" s="24" t="n">
        <x:f>SUMIF('Q2 2026 Activity'!$B$2:$B$20,A88,'Q2 2026 Activity'!$F$2:$F$20)</x:f>
        <x:v>0</x:v>
      </x:c>
      <x:c r="D88" s="24" t="n">
        <x:f>SUMIF('Q2 2026 Activity'!$B$2:$B$20,A88,'Q2 2026 Activity'!$H$2:$H$20)</x:f>
        <x:v>0</x:v>
      </x:c>
      <x:c r="E88" s="25" t="n">
        <x:f>B88</x:f>
        <x:v>0.7</x:v>
      </x:c>
      <x:c r="F88" s="25" t="n">
        <x:f>G88-E88</x:f>
        <x:v>0</x:v>
      </x:c>
      <x:c r="G88" s="25" t="n">
        <x:f>E88</x:f>
        <x:v>0.7</x:v>
      </x:c>
      <x:c r="H88" s="24" t="n">
        <x:f>'June 30 Target'!K88</x:f>
        <x:v>0.7</x:v>
      </x:c>
      <x:c r="I88" s="25" t="n">
        <x:f>G88-H88</x:f>
        <x:v>0</x:v>
      </x:c>
      <x:c r="J88" s="24" t="n">
        <x:f>'Portfolio'!I86</x:f>
        <x:v>2</x:v>
      </x:c>
      <x:c r="K88" s="25" t="n">
        <x:f>J88+C88</x:f>
        <x:v>2</x:v>
      </x:c>
      <x:c r="L88" s="24" t="n">
        <x:f>'June 30 Target'!I88</x:f>
        <x:v>2</x:v>
      </x:c>
      <x:c r="M88" s="25" t="n">
        <x:f>K88-L88</x:f>
        <x:v>0</x:v>
      </x:c>
      <x:c r="N88" s="24" t="n">
        <x:f>'Portfolio'!L86</x:f>
        <x:v>0</x:v>
      </x:c>
      <x:c r="O88" s="25" t="n">
        <x:f>N88+D88</x:f>
        <x:v>0</x:v>
      </x:c>
      <x:c r="P88" s="24" t="n">
        <x:f>'June 30 Target'!L88</x:f>
        <x:v>0</x:v>
      </x:c>
      <x:c r="Q88" s="25" t="n">
        <x:f>O88-P88</x:f>
        <x:v>0</x:v>
      </x:c>
      <x:c r="R88" s="25" t="n">
        <x:f>G88+D88-B88-C88</x:f>
        <x:v>0</x:v>
      </x:c>
      <x:c r="S88" s="3" t="str">
        <x:v>Carry; apply policy screening</x:v>
      </x:c>
    </x:row>
    <x:row r="89" ht="24" customHeight="1">
      <x:c r="A89" s="7" t="str">
        <x:v>Knollward</x:v>
      </x:c>
      <x:c r="B89" s="26" t="n">
        <x:f>'Portfolio'!K87</x:f>
        <x:v>48.8</x:v>
      </x:c>
      <x:c r="C89" s="26" t="n">
        <x:f>SUMIF('Q2 2026 Activity'!$B$2:$B$20,A89,'Q2 2026 Activity'!$F$2:$F$20)</x:f>
        <x:v>0</x:v>
      </x:c>
      <x:c r="D89" s="26" t="n">
        <x:f>SUMIF('Q2 2026 Activity'!$B$2:$B$20,A89,'Q2 2026 Activity'!$H$2:$H$20)</x:f>
        <x:v>0</x:v>
      </x:c>
      <x:c r="E89" s="27" t="n">
        <x:f>B89</x:f>
        <x:v>48.8</x:v>
      </x:c>
      <x:c r="F89" s="27" t="n">
        <x:f>G89-E89</x:f>
        <x:v>0</x:v>
      </x:c>
      <x:c r="G89" s="27" t="n">
        <x:f>E89</x:f>
        <x:v>48.8</x:v>
      </x:c>
      <x:c r="H89" s="26" t="n">
        <x:f>'June 30 Target'!K89</x:f>
        <x:v>48.8</x:v>
      </x:c>
      <x:c r="I89" s="27" t="n">
        <x:f>G89-H89</x:f>
        <x:v>0</x:v>
      </x:c>
      <x:c r="J89" s="26" t="n">
        <x:f>'Portfolio'!I87</x:f>
        <x:v>14</x:v>
      </x:c>
      <x:c r="K89" s="27" t="n">
        <x:f>J89+C89</x:f>
        <x:v>14</x:v>
      </x:c>
      <x:c r="L89" s="26" t="n">
        <x:f>'June 30 Target'!I89</x:f>
        <x:v>14</x:v>
      </x:c>
      <x:c r="M89" s="27" t="n">
        <x:f>K89-L89</x:f>
        <x:v>0</x:v>
      </x:c>
      <x:c r="N89" s="26" t="n">
        <x:f>'Portfolio'!L87</x:f>
        <x:v>0</x:v>
      </x:c>
      <x:c r="O89" s="27" t="n">
        <x:f>N89+D89</x:f>
        <x:v>0</x:v>
      </x:c>
      <x:c r="P89" s="26" t="n">
        <x:f>'June 30 Target'!L89</x:f>
        <x:v>0</x:v>
      </x:c>
      <x:c r="Q89" s="27" t="n">
        <x:f>O89-P89</x:f>
        <x:v>0</x:v>
      </x:c>
      <x:c r="R89" s="27" t="n">
        <x:f>G89+D89-B89-C89</x:f>
        <x:v>0</x:v>
      </x:c>
      <x:c r="S89" s="7" t="str">
        <x:v>Carry; apply policy screening</x:v>
      </x:c>
    </x:row>
    <x:row r="90" ht="24" customHeight="1">
      <x:c r="A90" s="3" t="str">
        <x:v>Lanternfell Space</x:v>
      </x:c>
      <x:c r="B90" s="24" t="n">
        <x:f>'Portfolio'!K88</x:f>
        <x:v>37.3</x:v>
      </x:c>
      <x:c r="C90" s="24" t="n">
        <x:f>SUMIF('Q2 2026 Activity'!$B$2:$B$20,A90,'Q2 2026 Activity'!$F$2:$F$20)</x:f>
        <x:v>0</x:v>
      </x:c>
      <x:c r="D90" s="24" t="n">
        <x:f>SUMIF('Q2 2026 Activity'!$B$2:$B$20,A90,'Q2 2026 Activity'!$H$2:$H$20)</x:f>
        <x:v>0</x:v>
      </x:c>
      <x:c r="E90" s="25" t="n">
        <x:f>B90</x:f>
        <x:v>37.3</x:v>
      </x:c>
      <x:c r="F90" s="25" t="n">
        <x:f>G90-E90</x:f>
        <x:v>0</x:v>
      </x:c>
      <x:c r="G90" s="25" t="n">
        <x:f>E90</x:f>
        <x:v>37.3</x:v>
      </x:c>
      <x:c r="H90" s="24" t="n">
        <x:f>'June 30 Target'!K90</x:f>
        <x:v>37.3</x:v>
      </x:c>
      <x:c r="I90" s="25" t="n">
        <x:f>G90-H90</x:f>
        <x:v>0</x:v>
      </x:c>
      <x:c r="J90" s="24" t="n">
        <x:f>'Portfolio'!I88</x:f>
        <x:v>15</x:v>
      </x:c>
      <x:c r="K90" s="25" t="n">
        <x:f>J90+C90</x:f>
        <x:v>15</x:v>
      </x:c>
      <x:c r="L90" s="24" t="n">
        <x:f>'June 30 Target'!I90</x:f>
        <x:v>15</x:v>
      </x:c>
      <x:c r="M90" s="25" t="n">
        <x:f>K90-L90</x:f>
        <x:v>0</x:v>
      </x:c>
      <x:c r="N90" s="24" t="n">
        <x:f>'Portfolio'!L88</x:f>
        <x:v>0</x:v>
      </x:c>
      <x:c r="O90" s="25" t="n">
        <x:f>N90+D90</x:f>
        <x:v>0</x:v>
      </x:c>
      <x:c r="P90" s="24" t="n">
        <x:f>'June 30 Target'!L90</x:f>
        <x:v>0</x:v>
      </x:c>
      <x:c r="Q90" s="25" t="n">
        <x:f>O90-P90</x:f>
        <x:v>0</x:v>
      </x:c>
      <x:c r="R90" s="25" t="n">
        <x:f>G90+D90-B90-C90</x:f>
        <x:v>0</x:v>
      </x:c>
      <x:c r="S90" s="3" t="str">
        <x:v>Carry; apply policy screening</x:v>
      </x:c>
    </x:row>
    <x:row r="91" ht="24" customHeight="1">
      <x:c r="A91" s="7" t="str">
        <x:v>Mardellan</x:v>
      </x:c>
      <x:c r="B91" s="26" t="n">
        <x:f>'Portfolio'!K89</x:f>
        <x:v>68.4</x:v>
      </x:c>
      <x:c r="C91" s="26" t="n">
        <x:f>SUMIF('Q2 2026 Activity'!$B$2:$B$20,A91,'Q2 2026 Activity'!$F$2:$F$20)</x:f>
        <x:v>0</x:v>
      </x:c>
      <x:c r="D91" s="26" t="n">
        <x:f>SUMIF('Q2 2026 Activity'!$B$2:$B$20,A91,'Q2 2026 Activity'!$H$2:$H$20)</x:f>
        <x:v>0</x:v>
      </x:c>
      <x:c r="E91" s="27" t="n">
        <x:f>B91</x:f>
        <x:v>68.4</x:v>
      </x:c>
      <x:c r="F91" s="27" t="n">
        <x:f>G91-E91</x:f>
        <x:v>0</x:v>
      </x:c>
      <x:c r="G91" s="27" t="n">
        <x:f>E91</x:f>
        <x:v>68.4</x:v>
      </x:c>
      <x:c r="H91" s="26" t="n">
        <x:f>'June 30 Target'!K91</x:f>
        <x:v>68.4</x:v>
      </x:c>
      <x:c r="I91" s="27" t="n">
        <x:f>G91-H91</x:f>
        <x:v>0</x:v>
      </x:c>
      <x:c r="J91" s="26" t="n">
        <x:f>'Portfolio'!I89</x:f>
        <x:v>10.9</x:v>
      </x:c>
      <x:c r="K91" s="27" t="n">
        <x:f>J91+C91</x:f>
        <x:v>10.9</x:v>
      </x:c>
      <x:c r="L91" s="26" t="n">
        <x:f>'June 30 Target'!I91</x:f>
        <x:v>10.9</x:v>
      </x:c>
      <x:c r="M91" s="27" t="n">
        <x:f>K91-L91</x:f>
        <x:v>0</x:v>
      </x:c>
      <x:c r="N91" s="26" t="n">
        <x:f>'Portfolio'!L89</x:f>
        <x:v>0</x:v>
      </x:c>
      <x:c r="O91" s="27" t="n">
        <x:f>N91+D91</x:f>
        <x:v>0</x:v>
      </x:c>
      <x:c r="P91" s="26" t="n">
        <x:f>'June 30 Target'!L91</x:f>
        <x:v>0</x:v>
      </x:c>
      <x:c r="Q91" s="27" t="n">
        <x:f>O91-P91</x:f>
        <x:v>0</x:v>
      </x:c>
      <x:c r="R91" s="27" t="n">
        <x:f>G91+D91-B91-C91</x:f>
        <x:v>0</x:v>
      </x:c>
      <x:c r="S91" s="7" t="str">
        <x:v>Carry; apply policy screening</x:v>
      </x:c>
    </x:row>
    <x:row r="92" ht="24" customHeight="1">
      <x:c r="A92" s="3" t="str">
        <x:v>Northquill</x:v>
      </x:c>
      <x:c r="B92" s="24" t="n">
        <x:f>'Portfolio'!K90</x:f>
        <x:v>24.1</x:v>
      </x:c>
      <x:c r="C92" s="24" t="n">
        <x:f>SUMIF('Q2 2026 Activity'!$B$2:$B$20,A92,'Q2 2026 Activity'!$F$2:$F$20)</x:f>
        <x:v>0</x:v>
      </x:c>
      <x:c r="D92" s="24" t="n">
        <x:f>SUMIF('Q2 2026 Activity'!$B$2:$B$20,A92,'Q2 2026 Activity'!$H$2:$H$20)</x:f>
        <x:v>0</x:v>
      </x:c>
      <x:c r="E92" s="25" t="n">
        <x:f>B92</x:f>
        <x:v>24.1</x:v>
      </x:c>
      <x:c r="F92" s="25" t="n">
        <x:f>G92-E92</x:f>
        <x:v>0</x:v>
      </x:c>
      <x:c r="G92" s="25" t="n">
        <x:f>E92</x:f>
        <x:v>24.1</x:v>
      </x:c>
      <x:c r="H92" s="24" t="n">
        <x:f>'June 30 Target'!K92</x:f>
        <x:v>24.1</x:v>
      </x:c>
      <x:c r="I92" s="25" t="n">
        <x:f>G92-H92</x:f>
        <x:v>0</x:v>
      </x:c>
      <x:c r="J92" s="24" t="n">
        <x:f>'Portfolio'!I90</x:f>
        <x:v>10</x:v>
      </x:c>
      <x:c r="K92" s="25" t="n">
        <x:f>J92+C92</x:f>
        <x:v>10</x:v>
      </x:c>
      <x:c r="L92" s="24" t="n">
        <x:f>'June 30 Target'!I92</x:f>
        <x:v>10</x:v>
      </x:c>
      <x:c r="M92" s="25" t="n">
        <x:f>K92-L92</x:f>
        <x:v>0</x:v>
      </x:c>
      <x:c r="N92" s="24" t="n">
        <x:f>'Portfolio'!L90</x:f>
        <x:v>0</x:v>
      </x:c>
      <x:c r="O92" s="25" t="n">
        <x:f>N92+D92</x:f>
        <x:v>0</x:v>
      </x:c>
      <x:c r="P92" s="24" t="n">
        <x:f>'June 30 Target'!L92</x:f>
        <x:v>0</x:v>
      </x:c>
      <x:c r="Q92" s="25" t="n">
        <x:f>O92-P92</x:f>
        <x:v>0</x:v>
      </x:c>
      <x:c r="R92" s="25" t="n">
        <x:f>G92+D92-B92-C92</x:f>
        <x:v>0</x:v>
      </x:c>
      <x:c r="S92" s="3" t="str">
        <x:v>Carry; apply policy screening</x:v>
      </x:c>
    </x:row>
    <x:row r="93" ht="24" customHeight="1">
      <x:c r="A93" s="7" t="str">
        <x:v>Oxbowlane</x:v>
      </x:c>
      <x:c r="B93" s="26" t="n">
        <x:f>'Portfolio'!K91</x:f>
        <x:v>13</x:v>
      </x:c>
      <x:c r="C93" s="26" t="n">
        <x:f>SUMIF('Q2 2026 Activity'!$B$2:$B$20,A93,'Q2 2026 Activity'!$F$2:$F$20)</x:f>
        <x:v>0</x:v>
      </x:c>
      <x:c r="D93" s="26" t="n">
        <x:f>SUMIF('Q2 2026 Activity'!$B$2:$B$20,A93,'Q2 2026 Activity'!$H$2:$H$20)</x:f>
        <x:v>0</x:v>
      </x:c>
      <x:c r="E93" s="27" t="n">
        <x:f>B93</x:f>
        <x:v>13</x:v>
      </x:c>
      <x:c r="F93" s="27" t="n">
        <x:f>G93-E93</x:f>
        <x:v>0</x:v>
      </x:c>
      <x:c r="G93" s="27" t="n">
        <x:f>E93</x:f>
        <x:v>13</x:v>
      </x:c>
      <x:c r="H93" s="26" t="n">
        <x:f>'June 30 Target'!K93</x:f>
        <x:v>13</x:v>
      </x:c>
      <x:c r="I93" s="27" t="n">
        <x:f>G93-H93</x:f>
        <x:v>0</x:v>
      </x:c>
      <x:c r="J93" s="26" t="n">
        <x:f>'Portfolio'!I91</x:f>
        <x:v>10</x:v>
      </x:c>
      <x:c r="K93" s="27" t="n">
        <x:f>J93+C93</x:f>
        <x:v>10</x:v>
      </x:c>
      <x:c r="L93" s="26" t="n">
        <x:f>'June 30 Target'!I93</x:f>
        <x:v>10</x:v>
      </x:c>
      <x:c r="M93" s="27" t="n">
        <x:f>K93-L93</x:f>
        <x:v>0</x:v>
      </x:c>
      <x:c r="N93" s="26" t="n">
        <x:f>'Portfolio'!L91</x:f>
        <x:v>0</x:v>
      </x:c>
      <x:c r="O93" s="27" t="n">
        <x:f>N93+D93</x:f>
        <x:v>0</x:v>
      </x:c>
      <x:c r="P93" s="26" t="n">
        <x:f>'June 30 Target'!L93</x:f>
        <x:v>0</x:v>
      </x:c>
      <x:c r="Q93" s="27" t="n">
        <x:f>O93-P93</x:f>
        <x:v>0</x:v>
      </x:c>
      <x:c r="R93" s="27" t="n">
        <x:f>G93+D93-B93-C93</x:f>
        <x:v>0</x:v>
      </x:c>
      <x:c r="S93" s="7" t="str">
        <x:v>Carry; apply policy screening</x:v>
      </x:c>
    </x:row>
    <x:row r="94" ht="24" customHeight="1">
      <x:c r="A94" s="3" t="str">
        <x:v>Petrelbay</x:v>
      </x:c>
      <x:c r="B94" s="24" t="n">
        <x:f>'Portfolio'!K92</x:f>
        <x:v>1.7</x:v>
      </x:c>
      <x:c r="C94" s="24" t="n">
        <x:f>SUMIF('Q2 2026 Activity'!$B$2:$B$20,A94,'Q2 2026 Activity'!$F$2:$F$20)</x:f>
        <x:v>0</x:v>
      </x:c>
      <x:c r="D94" s="24" t="n">
        <x:f>SUMIF('Q2 2026 Activity'!$B$2:$B$20,A94,'Q2 2026 Activity'!$H$2:$H$20)</x:f>
        <x:v>0</x:v>
      </x:c>
      <x:c r="E94" s="25" t="n">
        <x:f>B94</x:f>
        <x:v>1.7</x:v>
      </x:c>
      <x:c r="F94" s="25" t="n">
        <x:f>G94-E94</x:f>
        <x:v>0</x:v>
      </x:c>
      <x:c r="G94" s="25" t="n">
        <x:f>E94</x:f>
        <x:v>1.7</x:v>
      </x:c>
      <x:c r="H94" s="24" t="n">
        <x:f>'June 30 Target'!K94</x:f>
        <x:v>1.7</x:v>
      </x:c>
      <x:c r="I94" s="25" t="n">
        <x:f>G94-H94</x:f>
        <x:v>0</x:v>
      </x:c>
      <x:c r="J94" s="24" t="n">
        <x:f>'Portfolio'!I92</x:f>
        <x:v>1.8</x:v>
      </x:c>
      <x:c r="K94" s="25" t="n">
        <x:f>J94+C94</x:f>
        <x:v>1.8</x:v>
      </x:c>
      <x:c r="L94" s="24" t="n">
        <x:f>'June 30 Target'!I94</x:f>
        <x:v>1.8</x:v>
      </x:c>
      <x:c r="M94" s="25" t="n">
        <x:f>K94-L94</x:f>
        <x:v>0</x:v>
      </x:c>
      <x:c r="N94" s="24" t="n">
        <x:f>'Portfolio'!L92</x:f>
        <x:v>0</x:v>
      </x:c>
      <x:c r="O94" s="25" t="n">
        <x:f>N94+D94</x:f>
        <x:v>0</x:v>
      </x:c>
      <x:c r="P94" s="24" t="n">
        <x:f>'June 30 Target'!L94</x:f>
        <x:v>0</x:v>
      </x:c>
      <x:c r="Q94" s="25" t="n">
        <x:f>O94-P94</x:f>
        <x:v>0</x:v>
      </x:c>
      <x:c r="R94" s="25" t="n">
        <x:f>G94+D94-B94-C94</x:f>
        <x:v>0</x:v>
      </x:c>
      <x:c r="S94" s="3" t="str">
        <x:v>Carry; apply policy screening</x:v>
      </x:c>
    </x:row>
    <x:row r="95" ht="24" customHeight="1">
      <x:c r="A95" s="7" t="str">
        <x:v>Quenchpoint Energy</x:v>
      </x:c>
      <x:c r="B95" s="26" t="n">
        <x:f>'Portfolio'!K93</x:f>
        <x:v>7.8</x:v>
      </x:c>
      <x:c r="C95" s="26" t="n">
        <x:f>SUMIF('Q2 2026 Activity'!$B$2:$B$20,A95,'Q2 2026 Activity'!$F$2:$F$20)</x:f>
        <x:v>0</x:v>
      </x:c>
      <x:c r="D95" s="26" t="n">
        <x:f>SUMIF('Q2 2026 Activity'!$B$2:$B$20,A95,'Q2 2026 Activity'!$H$2:$H$20)</x:f>
        <x:v>0</x:v>
      </x:c>
      <x:c r="E95" s="27" t="n">
        <x:f>B95</x:f>
        <x:v>7.8</x:v>
      </x:c>
      <x:c r="F95" s="27" t="n">
        <x:f>G95-E95</x:f>
        <x:v>0</x:v>
      </x:c>
      <x:c r="G95" s="27" t="n">
        <x:f>E95</x:f>
        <x:v>7.8</x:v>
      </x:c>
      <x:c r="H95" s="26" t="n">
        <x:f>'June 30 Target'!K95</x:f>
        <x:v>7.8</x:v>
      </x:c>
      <x:c r="I95" s="27" t="n">
        <x:f>G95-H95</x:f>
        <x:v>0</x:v>
      </x:c>
      <x:c r="J95" s="26" t="n">
        <x:f>'Portfolio'!I93</x:f>
        <x:v>6</x:v>
      </x:c>
      <x:c r="K95" s="27" t="n">
        <x:f>J95+C95</x:f>
        <x:v>6</x:v>
      </x:c>
      <x:c r="L95" s="26" t="n">
        <x:f>'June 30 Target'!I95</x:f>
        <x:v>6</x:v>
      </x:c>
      <x:c r="M95" s="27" t="n">
        <x:f>K95-L95</x:f>
        <x:v>0</x:v>
      </x:c>
      <x:c r="N95" s="26" t="n">
        <x:f>'Portfolio'!L93</x:f>
        <x:v>0</x:v>
      </x:c>
      <x:c r="O95" s="27" t="n">
        <x:f>N95+D95</x:f>
        <x:v>0</x:v>
      </x:c>
      <x:c r="P95" s="26" t="n">
        <x:f>'June 30 Target'!L95</x:f>
        <x:v>0</x:v>
      </x:c>
      <x:c r="Q95" s="27" t="n">
        <x:f>O95-P95</x:f>
        <x:v>0</x:v>
      </x:c>
      <x:c r="R95" s="27" t="n">
        <x:f>G95+D95-B95-C95</x:f>
        <x:v>0</x:v>
      </x:c>
      <x:c r="S95" s="7" t="str">
        <x:v>Carry; apply policy screening</x:v>
      </x:c>
    </x:row>
    <x:row r="96" ht="24" customHeight="1">
      <x:c r="A96" s="3" t="str">
        <x:v>Saffronwell</x:v>
      </x:c>
      <x:c r="B96" s="24" t="n">
        <x:f>'Portfolio'!K94</x:f>
        <x:v>3.6</x:v>
      </x:c>
      <x:c r="C96" s="24" t="n">
        <x:f>SUMIF('Q2 2026 Activity'!$B$2:$B$20,A96,'Q2 2026 Activity'!$F$2:$F$20)</x:f>
        <x:v>0.4</x:v>
      </x:c>
      <x:c r="D96" s="24" t="n">
        <x:f>SUMIF('Q2 2026 Activity'!$B$2:$B$20,A96,'Q2 2026 Activity'!$H$2:$H$20)</x:f>
        <x:v>0</x:v>
      </x:c>
      <x:c r="E96" s="24" t="n">
        <x:f>'Q2 2026 Activity'!E8*'Q2 2026 Activity'!G8</x:f>
        <x:v>1.1387999999999998</x:v>
      </x:c>
      <x:c r="F96" s="25" t="n">
        <x:f>G96-E96</x:f>
        <x:v>-0.038799999999999724</x:v>
      </x:c>
      <x:c r="G96" s="25" t="n">
        <x:f>ROUND(E96,1)</x:f>
        <x:v>1.1</x:v>
      </x:c>
      <x:c r="H96" s="24" t="n">
        <x:f>'June 30 Target'!K96</x:f>
        <x:v>1.1</x:v>
      </x:c>
      <x:c r="I96" s="25" t="n">
        <x:f>G96-H96</x:f>
        <x:v>0</x:v>
      </x:c>
      <x:c r="J96" s="24" t="n">
        <x:f>'Portfolio'!I94</x:f>
        <x:v>2.5</x:v>
      </x:c>
      <x:c r="K96" s="25" t="n">
        <x:f>J96+C96</x:f>
        <x:v>2.9</x:v>
      </x:c>
      <x:c r="L96" s="24" t="n">
        <x:f>'June 30 Target'!I96</x:f>
        <x:v>2.9</x:v>
      </x:c>
      <x:c r="M96" s="25" t="n">
        <x:f>K96-L96</x:f>
        <x:v>0</x:v>
      </x:c>
      <x:c r="N96" s="24" t="n">
        <x:f>'Portfolio'!L94</x:f>
        <x:v>0</x:v>
      </x:c>
      <x:c r="O96" s="25" t="n">
        <x:f>N96+D96</x:f>
        <x:v>0</x:v>
      </x:c>
      <x:c r="P96" s="24" t="n">
        <x:f>'June 30 Target'!L96</x:f>
        <x:v>0</x:v>
      </x:c>
      <x:c r="Q96" s="25" t="n">
        <x:f>O96-P96</x:f>
        <x:v>0</x:v>
      </x:c>
      <x:c r="R96" s="25" t="n">
        <x:f>G96+D96-B96-C96</x:f>
        <x:v>-2.9</x:v>
      </x:c>
      <x:c r="S96" s="3" t="str">
        <x:v>Down-round recap with follow-on</x:v>
      </x:c>
    </x:row>
    <x:row r="97" ht="24" customHeight="1">
      <x:c r="A97" s="7" t="str">
        <x:v>Thornmill Systems</x:v>
      </x:c>
      <x:c r="B97" s="26" t="n">
        <x:f>'Portfolio'!K95</x:f>
        <x:v>28.2</x:v>
      </x:c>
      <x:c r="C97" s="26" t="n">
        <x:f>SUMIF('Q2 2026 Activity'!$B$2:$B$20,A97,'Q2 2026 Activity'!$F$2:$F$20)</x:f>
        <x:v>0</x:v>
      </x:c>
      <x:c r="D97" s="26" t="n">
        <x:f>SUMIF('Q2 2026 Activity'!$B$2:$B$20,A97,'Q2 2026 Activity'!$H$2:$H$20)</x:f>
        <x:v>0</x:v>
      </x:c>
      <x:c r="E97" s="27" t="n">
        <x:f>B97</x:f>
        <x:v>28.2</x:v>
      </x:c>
      <x:c r="F97" s="27" t="n">
        <x:f>G97-E97</x:f>
        <x:v>0</x:v>
      </x:c>
      <x:c r="G97" s="27" t="n">
        <x:f>E97</x:f>
        <x:v>28.2</x:v>
      </x:c>
      <x:c r="H97" s="26" t="n">
        <x:f>'June 30 Target'!K97</x:f>
        <x:v>28.2</x:v>
      </x:c>
      <x:c r="I97" s="27" t="n">
        <x:f>G97-H97</x:f>
        <x:v>0</x:v>
      </x:c>
      <x:c r="J97" s="26" t="n">
        <x:f>'Portfolio'!I95</x:f>
        <x:v>20</x:v>
      </x:c>
      <x:c r="K97" s="27" t="n">
        <x:f>J97+C97</x:f>
        <x:v>20</x:v>
      </x:c>
      <x:c r="L97" s="26" t="n">
        <x:f>'June 30 Target'!I97</x:f>
        <x:v>20</x:v>
      </x:c>
      <x:c r="M97" s="27" t="n">
        <x:f>K97-L97</x:f>
        <x:v>0</x:v>
      </x:c>
      <x:c r="N97" s="26" t="n">
        <x:f>'Portfolio'!L95</x:f>
        <x:v>0</x:v>
      </x:c>
      <x:c r="O97" s="27" t="n">
        <x:f>N97+D97</x:f>
        <x:v>0</x:v>
      </x:c>
      <x:c r="P97" s="26" t="n">
        <x:f>'June 30 Target'!L97</x:f>
        <x:v>0</x:v>
      </x:c>
      <x:c r="Q97" s="27" t="n">
        <x:f>O97-P97</x:f>
        <x:v>0</x:v>
      </x:c>
      <x:c r="R97" s="27" t="n">
        <x:f>G97+D97-B97-C97</x:f>
        <x:v>0</x:v>
      </x:c>
      <x:c r="S97" s="7" t="str">
        <x:v>Carry; apply policy screening</x:v>
      </x:c>
    </x:row>
    <x:row r="98" ht="24" customHeight="1">
      <x:c r="A98" s="3" t="str">
        <x:v>Uplandreach</x:v>
      </x:c>
      <x:c r="B98" s="24" t="n">
        <x:f>'Portfolio'!K96</x:f>
        <x:v>2.1</x:v>
      </x:c>
      <x:c r="C98" s="24" t="n">
        <x:f>SUMIF('Q2 2026 Activity'!$B$2:$B$20,A98,'Q2 2026 Activity'!$F$2:$F$20)</x:f>
        <x:v>0</x:v>
      </x:c>
      <x:c r="D98" s="24" t="n">
        <x:f>SUMIF('Q2 2026 Activity'!$B$2:$B$20,A98,'Q2 2026 Activity'!$H$2:$H$20)</x:f>
        <x:v>0</x:v>
      </x:c>
      <x:c r="E98" s="25" t="n">
        <x:f>B98</x:f>
        <x:v>2.1</x:v>
      </x:c>
      <x:c r="F98" s="25" t="n">
        <x:f>G98-E98</x:f>
        <x:v>0</x:v>
      </x:c>
      <x:c r="G98" s="25" t="n">
        <x:f>E98</x:f>
        <x:v>2.1</x:v>
      </x:c>
      <x:c r="H98" s="24" t="n">
        <x:f>'June 30 Target'!K98</x:f>
        <x:v>2.1</x:v>
      </x:c>
      <x:c r="I98" s="25" t="n">
        <x:f>G98-H98</x:f>
        <x:v>0</x:v>
      </x:c>
      <x:c r="J98" s="24" t="n">
        <x:f>'Portfolio'!I96</x:f>
        <x:v>2.7</x:v>
      </x:c>
      <x:c r="K98" s="25" t="n">
        <x:f>J98+C98</x:f>
        <x:v>2.7</x:v>
      </x:c>
      <x:c r="L98" s="24" t="n">
        <x:f>'June 30 Target'!I98</x:f>
        <x:v>2.7</x:v>
      </x:c>
      <x:c r="M98" s="25" t="n">
        <x:f>K98-L98</x:f>
        <x:v>0</x:v>
      </x:c>
      <x:c r="N98" s="24" t="n">
        <x:f>'Portfolio'!L96</x:f>
        <x:v>0</x:v>
      </x:c>
      <x:c r="O98" s="25" t="n">
        <x:f>N98+D98</x:f>
        <x:v>0</x:v>
      </x:c>
      <x:c r="P98" s="24" t="n">
        <x:f>'June 30 Target'!L98</x:f>
        <x:v>0</x:v>
      </x:c>
      <x:c r="Q98" s="25" t="n">
        <x:f>O98-P98</x:f>
        <x:v>0</x:v>
      </x:c>
      <x:c r="R98" s="25" t="n">
        <x:f>G98+D98-B98-C98</x:f>
        <x:v>0</x:v>
      </x:c>
      <x:c r="S98" s="3" t="str">
        <x:v>Carry; apply policy screening</x:v>
      </x:c>
    </x:row>
    <x:row r="99" ht="24" customHeight="1">
      <x:c r="A99" s="7" t="str">
        <x:v>Ventabrook</x:v>
      </x:c>
      <x:c r="B99" s="26" t="n">
        <x:f>'Portfolio'!K97</x:f>
        <x:v>2.3</x:v>
      </x:c>
      <x:c r="C99" s="26" t="n">
        <x:f>SUMIF('Q2 2026 Activity'!$B$2:$B$20,A99,'Q2 2026 Activity'!$F$2:$F$20)</x:f>
        <x:v>0</x:v>
      </x:c>
      <x:c r="D99" s="26" t="n">
        <x:f>SUMIF('Q2 2026 Activity'!$B$2:$B$20,A99,'Q2 2026 Activity'!$H$2:$H$20)</x:f>
        <x:v>0</x:v>
      </x:c>
      <x:c r="E99" s="27" t="n">
        <x:f>B99</x:f>
        <x:v>2.3</x:v>
      </x:c>
      <x:c r="F99" s="27" t="n">
        <x:f>G99-E99</x:f>
        <x:v>0</x:v>
      </x:c>
      <x:c r="G99" s="27" t="n">
        <x:f>E99</x:f>
        <x:v>2.3</x:v>
      </x:c>
      <x:c r="H99" s="26" t="n">
        <x:f>'June 30 Target'!K99</x:f>
        <x:v>2.3</x:v>
      </x:c>
      <x:c r="I99" s="27" t="n">
        <x:f>G99-H99</x:f>
        <x:v>0</x:v>
      </x:c>
      <x:c r="J99" s="26" t="n">
        <x:f>'Portfolio'!I97</x:f>
        <x:v>2.1</x:v>
      </x:c>
      <x:c r="K99" s="27" t="n">
        <x:f>J99+C99</x:f>
        <x:v>2.1</x:v>
      </x:c>
      <x:c r="L99" s="26" t="n">
        <x:f>'June 30 Target'!I99</x:f>
        <x:v>2.1</x:v>
      </x:c>
      <x:c r="M99" s="27" t="n">
        <x:f>K99-L99</x:f>
        <x:v>0</x:v>
      </x:c>
      <x:c r="N99" s="26" t="n">
        <x:f>'Portfolio'!L97</x:f>
        <x:v>0</x:v>
      </x:c>
      <x:c r="O99" s="27" t="n">
        <x:f>N99+D99</x:f>
        <x:v>0</x:v>
      </x:c>
      <x:c r="P99" s="26" t="n">
        <x:f>'June 30 Target'!L99</x:f>
        <x:v>0</x:v>
      </x:c>
      <x:c r="Q99" s="27" t="n">
        <x:f>O99-P99</x:f>
        <x:v>0</x:v>
      </x:c>
      <x:c r="R99" s="27" t="n">
        <x:f>G99+D99-B99-C99</x:f>
        <x:v>0</x:v>
      </x:c>
      <x:c r="S99" s="7" t="str">
        <x:v>Carry; apply policy screening</x:v>
      </x:c>
    </x:row>
    <x:row r="100" ht="24" customHeight="1">
      <x:c r="A100" s="3" t="str">
        <x:v>Wildebrook</x:v>
      </x:c>
      <x:c r="B100" s="24" t="n">
        <x:f>'Portfolio'!K98</x:f>
        <x:v>7.4</x:v>
      </x:c>
      <x:c r="C100" s="24" t="n">
        <x:f>SUMIF('Q2 2026 Activity'!$B$2:$B$20,A100,'Q2 2026 Activity'!$F$2:$F$20)</x:f>
        <x:v>0</x:v>
      </x:c>
      <x:c r="D100" s="24" t="n">
        <x:f>SUMIF('Q2 2026 Activity'!$B$2:$B$20,A100,'Q2 2026 Activity'!$H$2:$H$20)</x:f>
        <x:v>0</x:v>
      </x:c>
      <x:c r="E100" s="25" t="n">
        <x:f>B100</x:f>
        <x:v>7.4</x:v>
      </x:c>
      <x:c r="F100" s="25" t="n">
        <x:f>G100-E100</x:f>
        <x:v>0</x:v>
      </x:c>
      <x:c r="G100" s="25" t="n">
        <x:f>E100</x:f>
        <x:v>7.4</x:v>
      </x:c>
      <x:c r="H100" s="24" t="n">
        <x:f>'June 30 Target'!K100</x:f>
        <x:v>7.4</x:v>
      </x:c>
      <x:c r="I100" s="25" t="n">
        <x:f>G100-H100</x:f>
        <x:v>0</x:v>
      </x:c>
      <x:c r="J100" s="24" t="n">
        <x:f>'Portfolio'!I98</x:f>
        <x:v>3.7</x:v>
      </x:c>
      <x:c r="K100" s="25" t="n">
        <x:f>J100+C100</x:f>
        <x:v>3.7</x:v>
      </x:c>
      <x:c r="L100" s="24" t="n">
        <x:f>'June 30 Target'!I100</x:f>
        <x:v>3.7</x:v>
      </x:c>
      <x:c r="M100" s="25" t="n">
        <x:f>K100-L100</x:f>
        <x:v>0</x:v>
      </x:c>
      <x:c r="N100" s="24" t="n">
        <x:f>'Portfolio'!L98</x:f>
        <x:v>0</x:v>
      </x:c>
      <x:c r="O100" s="25" t="n">
        <x:f>N100+D100</x:f>
        <x:v>0</x:v>
      </x:c>
      <x:c r="P100" s="24" t="n">
        <x:f>'June 30 Target'!L100</x:f>
        <x:v>0</x:v>
      </x:c>
      <x:c r="Q100" s="25" t="n">
        <x:f>O100-P100</x:f>
        <x:v>0</x:v>
      </x:c>
      <x:c r="R100" s="25" t="n">
        <x:f>G100+D100-B100-C100</x:f>
        <x:v>0</x:v>
      </x:c>
      <x:c r="S100" s="3" t="str">
        <x:v>Carry; apply policy screening</x:v>
      </x:c>
    </x:row>
    <x:row r="101" ht="24" customHeight="1">
      <x:c r="A101" s="7" t="str">
        <x:v>Zerocrest</x:v>
      </x:c>
      <x:c r="B101" s="26" t="n">
        <x:f>'Portfolio'!K99</x:f>
        <x:v>0</x:v>
      </x:c>
      <x:c r="C101" s="26" t="n">
        <x:f>SUMIF('Q2 2026 Activity'!$B$2:$B$20,A101,'Q2 2026 Activity'!$F$2:$F$20)</x:f>
        <x:v>0</x:v>
      </x:c>
      <x:c r="D101" s="26" t="n">
        <x:f>SUMIF('Q2 2026 Activity'!$B$2:$B$20,A101,'Q2 2026 Activity'!$H$2:$H$20)</x:f>
        <x:v>0</x:v>
      </x:c>
      <x:c r="E101" s="27" t="n">
        <x:f>0</x:f>
        <x:v>0</x:v>
      </x:c>
      <x:c r="F101" s="27" t="n">
        <x:f>G101-E101</x:f>
        <x:v>0</x:v>
      </x:c>
      <x:c r="G101" s="27" t="n">
        <x:f>E101</x:f>
        <x:v>0</x:v>
      </x:c>
      <x:c r="H101" s="26" t="n">
        <x:f>'June 30 Target'!K101</x:f>
        <x:v>0</x:v>
      </x:c>
      <x:c r="I101" s="27" t="n">
        <x:f>G101-H101</x:f>
        <x:v>0</x:v>
      </x:c>
      <x:c r="J101" s="26" t="n">
        <x:f>'Portfolio'!I99</x:f>
        <x:v>0.7</x:v>
      </x:c>
      <x:c r="K101" s="27" t="n">
        <x:f>J101+C101</x:f>
        <x:v>0.7</x:v>
      </x:c>
      <x:c r="L101" s="26" t="n">
        <x:f>'June 30 Target'!I101</x:f>
        <x:v>0.7</x:v>
      </x:c>
      <x:c r="M101" s="27" t="n">
        <x:f>K101-L101</x:f>
        <x:v>0</x:v>
      </x:c>
      <x:c r="N101" s="26" t="n">
        <x:f>'Portfolio'!L99</x:f>
        <x:v>0</x:v>
      </x:c>
      <x:c r="O101" s="27" t="n">
        <x:f>N101+D101</x:f>
        <x:v>0</x:v>
      </x:c>
      <x:c r="P101" s="26" t="n">
        <x:f>'June 30 Target'!L101</x:f>
        <x:v>0</x:v>
      </x:c>
      <x:c r="Q101" s="27" t="n">
        <x:f>O101-P101</x:f>
        <x:v>0</x:v>
      </x:c>
      <x:c r="R101" s="27" t="n">
        <x:f>G101+D101-B101-C101</x:f>
        <x:v>0</x:v>
      </x:c>
      <x:c r="S101" s="7" t="str">
        <x:v>Previously shut down / no activity</x:v>
      </x:c>
    </x:row>
    <x:row r="102">
      <x:c r="A102" s="31" t="str">
        <x:v>TOTAL</x:v>
      </x:c>
      <x:c r="B102" s="32" t="n">
        <x:f>SUM(B2:B101)</x:f>
        <x:v>1132.1</x:v>
      </x:c>
      <x:c r="C102" s="32" t="n">
        <x:f>SUM(C2:C101)</x:f>
        <x:v>11.3</x:v>
      </x:c>
      <x:c r="D102" s="32" t="n">
        <x:f>SUM(D2:D101)</x:f>
        <x:v>2.1</x:v>
      </x:c>
      <x:c r="E102" s="32" t="n">
        <x:f>SUM(E2:E101)</x:f>
        <x:v>1139.4095999999997</x:v>
      </x:c>
      <x:c r="F102" s="32" t="n">
        <x:f>SUM(F2:F101)</x:f>
        <x:v>-0.10960000000000036</x:v>
      </x:c>
      <x:c r="G102" s="32" t="n">
        <x:f>SUM(G2:G101)</x:f>
        <x:v>1139.3</x:v>
      </x:c>
      <x:c r="H102" s="32" t="n">
        <x:f>SUM(H2:H101)</x:f>
        <x:v>1139.3</x:v>
      </x:c>
      <x:c r="I102" s="32" t="n">
        <x:f>SUM(I2:I101)</x:f>
        <x:v>0</x:v>
      </x:c>
      <x:c r="J102" s="32" t="n">
        <x:f>SUM(J2:J101)</x:f>
        <x:v>602.1000000000001</x:v>
      </x:c>
      <x:c r="K102" s="32" t="n">
        <x:f>SUM(K2:K101)</x:f>
        <x:v>613.4</x:v>
      </x:c>
      <x:c r="L102" s="32" t="n">
        <x:f>SUM(L2:L101)</x:f>
        <x:v>613.4</x:v>
      </x:c>
      <x:c r="M102" s="32" t="n">
        <x:f>SUM(M2:M101)</x:f>
        <x:v>0</x:v>
      </x:c>
      <x:c r="N102" s="32" t="n">
        <x:f>SUM(N2:N101)</x:f>
        <x:v>15</x:v>
      </x:c>
      <x:c r="O102" s="32" t="n">
        <x:f>SUM(O2:O101)</x:f>
        <x:v>17.1</x:v>
      </x:c>
      <x:c r="P102" s="32" t="n">
        <x:f>SUM(P2:P101)</x:f>
        <x:v>17.1</x:v>
      </x:c>
      <x:c r="Q102" s="32" t="n">
        <x:f>SUM(Q2:Q101)</x:f>
        <x:v>0</x:v>
      </x:c>
      <x:c r="R102" s="32" t="n">
        <x:f>SUM(R2:R101)</x:f>
        <x:v>-2</x:v>
      </x:c>
      <x:c r="S102" s="3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3" hidden="0" customWidth="1"/>
    <x:col min="3" max="3" width="78" hidden="0" customWidth="1"/>
    <x:col min="4" max="4" width="78" hidden="0" customWidth="1"/>
  </x:cols>
  <x:sheetData>
    <x:row r="1" ht="44" customHeight="1">
      <x:c r="A1" s="6" t="str">
        <x:v>Company</x:v>
      </x:c>
      <x:c r="B1" s="6" t="str">
        <x:v>Scenario</x:v>
      </x:c>
      <x:c r="C1" s="6" t="str">
        <x:v>Expected closing treatment</x:v>
      </x:c>
      <x:c r="D1" s="6" t="str">
        <x:v>What the engine must catch</x:v>
      </x:c>
    </x:row>
    <x:row r="2" ht="78" customHeight="1">
      <x:c r="A2" s="3" t="str">
        <x:v>Saltmarsh Analytics</x:v>
      </x:c>
      <x:c r="B2" s="3" t="str">
        <x:v>Follow-on below pro rata</x:v>
      </x:c>
      <x:c r="C2" s="3" t="str">
        <x:v>Mark 5.4374 raw / 5.4 reported; invested 5.8; ownership 6.2%.</x:v>
      </x:c>
      <x:c r="D2" s="3" t="str">
        <x:v>Separate contribution from gain; dilution despite participation.</x:v>
      </x:c>
    </x:row>
    <x:row r="3" ht="78" customHeight="1">
      <x:c r="A3" s="7" t="str">
        <x:v>Palefire Labs</x:v>
      </x:c>
      <x:c r="B3" s="7" t="str">
        <x:v>Exact pro rata financing</x:v>
      </x:c>
      <x:c r="C3" s="7" t="str">
        <x:v>Mark 6.516 raw / 6.5 reported; invested 6.0; ownership stays 12%.</x:v>
      </x:c>
      <x:c r="D3" s="7" t="str">
        <x:v>Do not treat the $1.2M contribution as a gain.</x:v>
      </x:c>
    </x:row>
    <x:row r="4" ht="78" customHeight="1">
      <x:c r="A4" s="3" t="str">
        <x:v>Quillshade</x:v>
      </x:c>
      <x:c r="B4" s="3" t="str">
        <x:v>Combined primary and secondary purchase</x:v>
      </x:c>
      <x:c r="C4" s="3" t="str">
        <x:v>Mark 8.9235 raw / 8.9 reported; invested 6.0. Reviewer confirms rights support supplied mark.</x:v>
      </x:c>
      <x:c r="D4" s="3" t="str">
        <x:v>Requires instrument review; ownership is supplied, not inferred from investment / post-money.</x:v>
      </x:c>
    </x:row>
    <x:row r="5" ht="78" customHeight="1">
      <x:c r="A5" s="7" t="str">
        <x:v>Tidewell Health</x:v>
      </x:c>
      <x:c r="B5" s="7" t="str">
        <x:v>Note funded and converted within quarter</x:v>
      </x:c>
      <x:c r="C5" s="7" t="str">
        <x:v>Final equity 1.2093 raw / 1.2 reported; invested 1.4; no remaining note.</x:v>
      </x:c>
      <x:c r="D5" s="7" t="str">
        <x:v>Count principal once; zero contribution on conversion is intentional.</x:v>
      </x:c>
    </x:row>
    <x:row r="6" ht="78" customHeight="1">
      <x:c r="A6" s="3" t="str">
        <x:v>Saffronwell</x:v>
      </x:c>
      <x:c r="B6" s="3" t="str">
        <x:v>Down-round recap with follow-on</x:v>
      </x:c>
      <x:c r="C6" s="3" t="str">
        <x:v>Mark 1.1388 raw / 1.1 reported; invested 2.9.</x:v>
      </x:c>
      <x:c r="D6" s="3" t="str">
        <x:v>Human review of pay-to-play and preference changes.</x:v>
      </x:c>
    </x:row>
    <x:row r="7" ht="78" customHeight="1">
      <x:c r="A7" s="7" t="str">
        <x:v>Loamfield Robotics</x:v>
      </x:c>
      <x:c r="B7" s="7" t="str">
        <x:v>New company / initial investment</x:v>
      </x:c>
      <x:c r="C7" s="7" t="str">
        <x:v>Create Fund III holding; exact target cost and ownership. Mark raw 1.1016 / reported 1.1.</x:v>
      </x:c>
      <x:c r="D7" s="7" t="str">
        <x:v>Read new-company metadata from notes or request missing structured fields; do not silently discard event.</x:v>
      </x:c>
    </x:row>
    <x:row r="8" ht="78" customHeight="1">
      <x:c r="A8" s="3" t="str">
        <x:v>Harrowgate Bio</x:v>
      </x:c>
      <x:c r="B8" s="3" t="str">
        <x:v>New company / initial investment</x:v>
      </x:c>
      <x:c r="C8" s="3" t="str">
        <x:v>Create Fund III holding; exact target cost and ownership. Mark raw 6.0830 / reported 6.1.</x:v>
      </x:c>
      <x:c r="D8" s="3" t="str">
        <x:v>Read new-company metadata from notes or request missing structured fields; do not silently discard event.</x:v>
      </x:c>
    </x:row>
    <x:row r="9" ht="78" customHeight="1">
      <x:c r="A9" s="7" t="str">
        <x:v>Kolvani Health</x:v>
      </x:c>
      <x:c r="B9" s="7" t="str">
        <x:v>Cash recovery on an already exited company</x:v>
      </x:c>
      <x:c r="C9" s="7" t="str">
        <x:v>Remaining mark zero; cumulative realized 15.9; invested stays 5.8.</x:v>
      </x:c>
      <x:c r="D9" s="7" t="str">
        <x:v>New event type: explicit review or supported handling; never resurrect equity.</x:v>
      </x:c>
    </x:row>
    <x:row r="10" ht="78" customHeight="1">
      <x:c r="A10" s="3" t="str">
        <x:v>Hearthwick</x:v>
      </x:c>
      <x:c r="B10" s="3" t="str">
        <x:v>Round then acquisition then escrow release</x:v>
      </x:c>
      <x:c r="C10" s="3" t="str">
        <x:v>Zero remaining value; invested .7; realized 1.2; status Acquired; latest round June 22.</x:v>
      </x:c>
      <x:c r="D10" s="3" t="str">
        <x:v>Chronological multi-event processing; no duplicate proceeds or residual escrow.</x:v>
      </x:c>
    </x:row>
    <x:row r="11" ht="78" customHeight="1">
      <x:c r="A11" s="7" t="str">
        <x:v>Everbrook Analytics</x:v>
      </x:c>
      <x:c r="B11" s="7" t="str">
        <x:v>Shutdown with explicit zero recovery</x:v>
      </x:c>
      <x:c r="C11" s="7" t="str">
        <x:v>Mark 0; realized 0; cost 5.3 retained; status Shut Down.</x:v>
      </x:c>
      <x:c r="D11" s="7" t="str">
        <x:v>Zero proceeds is not missing data.</x:v>
      </x:c>
    </x:row>
    <x:row r="12" ht="78" customHeight="1">
      <x:c r="A12" s="3" t="str">
        <x:v>Drayvenn</x:v>
      </x:c>
      <x:c r="B12" s="3" t="str">
        <x:v>Private-company stock split</x:v>
      </x:c>
      <x:c r="C12" s="3" t="str">
        <x:v>Carry 80.3 and 3.4% ownership; latest priced round remains 2023-11-06.</x:v>
      </x:c>
      <x:c r="D12" s="3" t="str">
        <x:v>Unsupported event should flag, not reset value or double ownership.</x:v>
      </x:c>
    </x:row>
    <x:row r="13" ht="78" customHeight="1">
      <x:c r="A13" s="7" t="str">
        <x:v>Umberly</x:v>
      </x:c>
      <x:c r="B13" s="7" t="str">
        <x:v>Undrawn debt plus short runway</x:v>
      </x:c>
      <x:c r="C13" s="7" t="str">
        <x:v>Carry 24.1 subject to documented review; preserve cash 5.6 and burn 1.36.</x:v>
      </x:c>
      <x:c r="D13" s="7" t="str">
        <x:v>Short-runway alert remains; financing availability is not cash.</x:v>
      </x:c>
    </x:row>
    <x:row r="14" ht="78" customHeight="1">
      <x:c r="A14" s="3" t="str">
        <x:v>Halcyra</x:v>
      </x:c>
      <x:c r="B14" s="3" t="str">
        <x:v>Signed proposal withdrawn in same quarter</x:v>
      </x:c>
      <x:c r="C14" s="3" t="str">
        <x:v>Carry 2.7 after review; latest round and ownership unchanged.</x:v>
      </x:c>
      <x:c r="D14" s="3" t="str">
        <x:v>Supersede stale proposal; do not price at $45M.</x:v>
      </x:c>
    </x:row>
    <x:row r="15" ht="78" customHeight="1">
      <x:c r="A15" s="7" t="str">
        <x:v>Gryphonel</x:v>
      </x:c>
      <x:c r="B15" s="7" t="str">
        <x:v>Quarter-end non-binding acquisition offer</x:v>
      </x:c>
      <x:c r="C15" s="7" t="str">
        <x:v>Carry 3.5 after review; no realized proceeds.</x:v>
      </x:c>
      <x:c r="D15" s="7" t="str">
        <x:v>Distinguish LOI from definitive agreement and completed sale.</x:v>
      </x:c>
    </x:row>
    <x:row r="16" ht="78" customHeight="1">
      <x:c r="A16" s="3" t="str">
        <x:v>Brumewell</x:v>
      </x:c>
      <x:c r="B16" s="3" t="str">
        <x:v>Negative growth with no financing repricing</x:v>
      </x:c>
      <x:c r="C16" s="3" t="str">
        <x:v>Carry 18.5 only after documented review.</x:v>
      </x:c>
      <x:c r="D16" s="3" t="str">
        <x:v>Do not treat operating update as a financing or automatically clear a carry.</x:v>
      </x:c>
    </x:row>
    <x:row r="17" ht="78" customHeight="1">
      <x:c r="A17" s="7" t="str">
        <x:v>Orchardline</x:v>
      </x:c>
      <x:c r="B17" s="7" t="str">
        <x:v>No activity / 3.5 months runway</x:v>
      </x:c>
      <x:c r="C17" s="7" t="str">
        <x:v>Opening and closing mark 7.3; review financing risk.</x:v>
      </x:c>
      <x:c r="D17" s="7" t="str">
        <x:v>Company absent from activity still requires screening.</x:v>
      </x:c>
    </x:row>
    <x:row r="18" ht="78" customHeight="1">
      <x:c r="A18" s="3" t="str">
        <x:v>Zerocrest</x:v>
      </x:c>
      <x:c r="B18" s="3" t="str">
        <x:v>Previously shut down / no activity</x:v>
      </x:c>
      <x:c r="C18" s="3" t="str">
        <x:v>Carry zero with historical invested .7 and realized zero.</x:v>
      </x:c>
      <x:c r="D18" s="3" t="str">
        <x:v>Do not regenerate stale-round or missing-ARR blockers for dead holdings without reason.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15" hidden="0" customWidth="1"/>
    <x:col min="6" max="6" width="14" hidden="0" customWidth="1"/>
    <x:col min="7" max="7" width="80" hidden="0" customWidth="1"/>
  </x:cols>
  <x:sheetData>
    <x:row r="1" ht="44" customHeight="1">
      <x:c r="A1" s="6" t="str">
        <x:v>Check</x:v>
      </x:c>
      <x:c r="B1" s="6" t="str">
        <x:v>Actual</x:v>
      </x:c>
      <x:c r="C1" s="6" t="str">
        <x:v>Expected</x:v>
      </x:c>
      <x:c r="D1" s="6" t="str">
        <x:v>Difference</x:v>
      </x:c>
      <x:c r="E1" s="6" t="str">
        <x:v>Tolerance</x:v>
      </x:c>
      <x:c r="F1" s="6" t="str">
        <x:v>Result</x:v>
      </x:c>
      <x:c r="G1" s="6" t="str">
        <x:v>Meaning</x:v>
      </x:c>
    </x:row>
    <x:row r="2" ht="44" customHeight="1">
      <x:c r="A2" s="3" t="str">
        <x:v>Closing mark total</x:v>
      </x:c>
      <x:c r="B2" s="18" t="n">
        <x:f>'Value Bridge'!G102</x:f>
        <x:v>1139.3</x:v>
      </x:c>
      <x:c r="C2" s="18" t="n">
        <x:f>SUM('June 30 Target'!K2:K101)</x:f>
        <x:v>1139.3</x:v>
      </x:c>
      <x:c r="D2" s="18" t="n">
        <x:f>B2-C2</x:f>
        <x:v>0</x:v>
      </x:c>
      <x:c r="E2" s="18" t="n">
        <x:v>1e-8</x:v>
      </x:c>
      <x:c r="F2" s="3" t="str">
        <x:f>IF(ABS(D2)&lt;=E2,"OK","CHECK")</x:f>
        <x:v>OK</x:v>
      </x:c>
      <x:c r="G2" s="3" t="str">
        <x:v>Must match all supplied remaining values.</x:v>
      </x:c>
    </x:row>
    <x:row r="3" ht="44" customHeight="1">
      <x:c r="A3" s="7" t="str">
        <x:v>Company mark errors</x:v>
      </x:c>
      <x:c r="B3" s="19" t="n">
        <x:f>COUNTIF('Value Bridge'!I2:I101,"&gt;0.00000001")+COUNTIF('Value Bridge'!I2:I101,"&lt;-0.00000001")</x:f>
        <x:v>0</x:v>
      </x:c>
      <x:c r="C3" s="19" t="n">
        <x:v>0</x:v>
      </x:c>
      <x:c r="D3" s="19" t="n">
        <x:f>B3-C3</x:f>
        <x:v>0</x:v>
      </x:c>
      <x:c r="E3" s="19" t="n">
        <x:v>0</x:v>
      </x:c>
      <x:c r="F3" s="7" t="str">
        <x:f>IF(ABS(D3)&lt;=E3,"OK","CHECK")</x:f>
        <x:v>OK</x:v>
      </x:c>
      <x:c r="G3" s="7" t="str">
        <x:v>Count of company differences outside tolerance.</x:v>
      </x:c>
    </x:row>
    <x:row r="4" ht="44" customHeight="1">
      <x:c r="A4" s="3" t="str">
        <x:v>Closing invested total</x:v>
      </x:c>
      <x:c r="B4" s="18" t="n">
        <x:f>'Value Bridge'!K102</x:f>
        <x:v>613.4</x:v>
      </x:c>
      <x:c r="C4" s="18" t="n">
        <x:f>SUM('June 30 Target'!I2:I101)</x:f>
        <x:v>613.4</x:v>
      </x:c>
      <x:c r="D4" s="18" t="n">
        <x:f>B4-C4</x:f>
        <x:v>0</x:v>
      </x:c>
      <x:c r="E4" s="18" t="n">
        <x:v>1e-8</x:v>
      </x:c>
      <x:c r="F4" s="3" t="str">
        <x:f>IF(ABS(D4)&lt;=E4,"OK","CHECK")</x:f>
        <x:v>OK</x:v>
      </x:c>
      <x:c r="G4" s="3" t="str">
        <x:v>Opening invested plus Q2 subscriptions / purchases.</x:v>
      </x:c>
    </x:row>
    <x:row r="5" ht="44" customHeight="1">
      <x:c r="A5" s="7" t="str">
        <x:v>Closing realized total</x:v>
      </x:c>
      <x:c r="B5" s="19" t="n">
        <x:f>'Value Bridge'!O102</x:f>
        <x:v>17.1</x:v>
      </x:c>
      <x:c r="C5" s="19" t="n">
        <x:f>SUM('June 30 Target'!L2:L101)</x:f>
        <x:v>17.1</x:v>
      </x:c>
      <x:c r="D5" s="19" t="n">
        <x:f>B5-C5</x:f>
        <x:v>0</x:v>
      </x:c>
      <x:c r="E5" s="19" t="n">
        <x:v>1e-8</x:v>
      </x:c>
      <x:c r="F5" s="7" t="str">
        <x:f>IF(ABS(D5)&lt;=E5,"OK","CHECK")</x:f>
        <x:v>OK</x:v>
      </x:c>
      <x:c r="G5" s="7" t="str">
        <x:v>Opening proceeds plus actual Q2 receipts.</x:v>
      </x:c>
    </x:row>
    <x:row r="6" ht="44" customHeight="1">
      <x:c r="A6" s="3" t="str">
        <x:v>Bridge identity</x:v>
      </x:c>
      <x:c r="B6" s="18" t="n">
        <x:f>'Value Bridge'!B102+'Value Bridge'!C102+'Value Bridge'!R102-'Value Bridge'!D102</x:f>
        <x:v>1139.3</x:v>
      </x:c>
      <x:c r="C6" s="18" t="n">
        <x:f>'Value Bridge'!G102</x:f>
        <x:v>1139.3</x:v>
      </x:c>
      <x:c r="D6" s="18" t="n">
        <x:f>B6-C6</x:f>
        <x:v>0</x:v>
      </x:c>
      <x:c r="E6" s="18" t="n">
        <x:v>1e-8</x:v>
      </x:c>
      <x:c r="F6" s="3" t="str">
        <x:f>IF(ABS(D6)&lt;=E6,"OK","CHECK")</x:f>
        <x:v>OK</x:v>
      </x:c>
      <x:c r="G6" s="3" t="str">
        <x:v>Opening + investment + gain - proceeds = close.</x:v>
      </x:c>
    </x:row>
    <x:row r="7" ht="44" customHeight="1">
      <x:c r="A7" s="7" t="str">
        <x:v>Opening companies</x:v>
      </x:c>
      <x:c r="B7" s="19" t="n">
        <x:v>98</x:v>
      </x:c>
      <x:c r="C7" s="19" t="n">
        <x:v>98</x:v>
      </x:c>
      <x:c r="D7" s="19" t="n">
        <x:f>B7-C7</x:f>
        <x:v>0</x:v>
      </x:c>
      <x:c r="E7" s="19" t="n">
        <x:v>0</x:v>
      </x:c>
      <x:c r="F7" s="7" t="str">
        <x:f>IF(ABS(D7)&lt;=E7,"OK","CHECK")</x:f>
        <x:v>OK</x:v>
      </x:c>
      <x:c r="G7" s="7" t="str">
        <x:v>Two new Q2 holdings omitted from opening.</x:v>
      </x:c>
    </x:row>
    <x:row r="8" ht="44" customHeight="1">
      <x:c r="A8" s="3" t="str">
        <x:v>Closing companies</x:v>
      </x:c>
      <x:c r="B8" s="18" t="n">
        <x:v>100</x:v>
      </x:c>
      <x:c r="C8" s="18" t="n">
        <x:v>100</x:v>
      </x:c>
      <x:c r="D8" s="18" t="n">
        <x:f>B8-C8</x:f>
        <x:v>0</x:v>
      </x:c>
      <x:c r="E8" s="18" t="n">
        <x:v>0</x:v>
      </x:c>
      <x:c r="F8" s="3" t="str">
        <x:f>IF(ABS(D8)&lt;=E8,"OK","CHECK")</x:f>
        <x:v>OK</x:v>
      </x:c>
      <x:c r="G8" s="3" t="str">
        <x:v>All original closing companies retained.</x:v>
      </x:c>
    </x:row>
    <x:row r="9" ht="44" customHeight="1">
      <x:c r="A9" s="7" t="str">
        <x:v>Activity rows</x:v>
      </x:c>
      <x:c r="B9" s="19" t="n">
        <x:v>19</x:v>
      </x:c>
      <x:c r="C9" s="19" t="n">
        <x:v>19</x:v>
      </x:c>
      <x:c r="D9" s="19" t="n">
        <x:f>B9-C9</x:f>
        <x:v>0</x:v>
      </x:c>
      <x:c r="E9" s="19" t="n">
        <x:v>0</x:v>
      </x:c>
      <x:c r="F9" s="7" t="str">
        <x:f>IF(ABS(D9)&lt;=E9,"OK","CHECK")</x:f>
        <x:v>OK</x:v>
      </x:c>
      <x:c r="G9" s="7" t="str">
        <x:v>Scenario size, not an assertion of engine coverage.</x:v>
      </x:c>
    </x:row>
    <x:row r="10" ht="44" customHeight="1">
      <x:c r="A10" s="3" t="str">
        <x:v>Investment company errors</x:v>
      </x:c>
      <x:c r="B10" s="18" t="n">
        <x:f>COUNTIF('Value Bridge'!M2:M101,"&gt;0.00000001")+COUNTIF('Value Bridge'!M2:M101,"&lt;-0.00000001")</x:f>
        <x:v>0</x:v>
      </x:c>
      <x:c r="C10" s="18" t="n">
        <x:v>0</x:v>
      </x:c>
      <x:c r="D10" s="18" t="n">
        <x:f>B10-C10</x:f>
        <x:v>0</x:v>
      </x:c>
      <x:c r="E10" s="18" t="n">
        <x:v>0</x:v>
      </x:c>
      <x:c r="F10" s="3" t="str">
        <x:f>IF(ABS(D10)&lt;=E10,"OK","CHECK")</x:f>
        <x:v>OK</x:v>
      </x:c>
      <x:c r="G10" s="3" t="str">
        <x:v>Every company cumulative investment reconciles.</x:v>
      </x:c>
    </x:row>
    <x:row r="11" ht="44" customHeight="1">
      <x:c r="A11" s="7" t="str">
        <x:v>Proceeds company errors</x:v>
      </x:c>
      <x:c r="B11" s="19" t="n">
        <x:f>COUNTIF('Value Bridge'!Q2:Q101,"&gt;0.00000001")+COUNTIF('Value Bridge'!Q2:Q101,"&lt;-0.00000001")</x:f>
        <x:v>0</x:v>
      </x:c>
      <x:c r="C11" s="19" t="n">
        <x:v>0</x:v>
      </x:c>
      <x:c r="D11" s="19" t="n">
        <x:f>B11-C11</x:f>
        <x:v>0</x:v>
      </x:c>
      <x:c r="E11" s="19" t="n">
        <x:v>0</x:v>
      </x:c>
      <x:c r="F11" s="7" t="str">
        <x:f>IF(ABS(D11)&lt;=E11,"OK","CHECK")</x:f>
        <x:v>OK</x:v>
      </x:c>
      <x:c r="G11" s="7" t="str">
        <x:v>Every company cumulative proceeds reconciles.</x:v>
      </x:c>
    </x:row>
  </x:sheetData>
  <x:conditionalFormatting sqref="F2:F11">
    <x:cfRule type="containsText" dxfId="0" priority="1" operator="containsText" text="OK"/>
  </x:conditionalFormatting>
  <x:pageMargins left="0.7" right="0.7" top="0.75" bottom="0.75" header="0.3" footer="0.3"/>
</x:worksheet>
</file>