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ackson/Downloads/"/>
    </mc:Choice>
  </mc:AlternateContent>
  <xr:revisionPtr revIDLastSave="0" documentId="8_{93A9BC60-BC86-1E42-8F7B-E3D3225A8033}" xr6:coauthVersionLast="47" xr6:coauthVersionMax="47" xr10:uidLastSave="{00000000-0000-0000-0000-000000000000}"/>
  <bookViews>
    <workbookView xWindow="0" yWindow="500" windowWidth="28800" windowHeight="16260" tabRatio="500" activeTab="1" xr2:uid="{00000000-000D-0000-FFFF-FFFF00000000}"/>
  </bookViews>
  <sheets>
    <sheet name="Portfolio" sheetId="1" r:id="rId1"/>
    <sheet name="Q3 2026 Activity" sheetId="2" r:id="rId2"/>
    <sheet name="Field Definitions" sheetId="3" r:id="rId3"/>
  </sheets>
  <definedNames>
    <definedName name="_xlnm._FilterDatabase" localSheetId="0" hidden="1">Portfolio!$A$1:$T$101</definedName>
    <definedName name="_xlnm._FilterDatabase" localSheetId="1" hidden="1">'Q3 2026 Activity'!$A$1:$I$19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101" i="1" l="1"/>
  <c r="M101" i="1"/>
  <c r="S100" i="1"/>
  <c r="M100" i="1"/>
  <c r="S99" i="1"/>
  <c r="M99" i="1"/>
  <c r="S98" i="1"/>
  <c r="M98" i="1"/>
  <c r="S97" i="1"/>
  <c r="M97" i="1"/>
  <c r="S96" i="1"/>
  <c r="M96" i="1"/>
  <c r="S95" i="1"/>
  <c r="M95" i="1"/>
  <c r="S94" i="1"/>
  <c r="M94" i="1"/>
  <c r="S93" i="1"/>
  <c r="M93" i="1"/>
  <c r="S92" i="1"/>
  <c r="M92" i="1"/>
  <c r="S91" i="1"/>
  <c r="M91" i="1"/>
  <c r="S90" i="1"/>
  <c r="M90" i="1"/>
  <c r="S89" i="1"/>
  <c r="M89" i="1"/>
  <c r="S88" i="1"/>
  <c r="M88" i="1"/>
  <c r="S87" i="1"/>
  <c r="M87" i="1"/>
  <c r="S86" i="1"/>
  <c r="M86" i="1"/>
  <c r="S85" i="1"/>
  <c r="M85" i="1"/>
  <c r="S84" i="1"/>
  <c r="M84" i="1"/>
  <c r="S83" i="1"/>
  <c r="M83" i="1"/>
  <c r="S82" i="1"/>
  <c r="M82" i="1"/>
  <c r="S81" i="1"/>
  <c r="M81" i="1"/>
  <c r="S80" i="1"/>
  <c r="M80" i="1"/>
  <c r="S79" i="1"/>
  <c r="M79" i="1"/>
  <c r="S78" i="1"/>
  <c r="M78" i="1"/>
  <c r="S77" i="1"/>
  <c r="M77" i="1"/>
  <c r="S76" i="1"/>
  <c r="M76" i="1"/>
  <c r="S75" i="1"/>
  <c r="M75" i="1"/>
  <c r="S74" i="1"/>
  <c r="M74" i="1"/>
  <c r="S73" i="1"/>
  <c r="M73" i="1"/>
  <c r="S72" i="1"/>
  <c r="M72" i="1"/>
  <c r="S71" i="1"/>
  <c r="M71" i="1"/>
  <c r="S70" i="1"/>
  <c r="M70" i="1"/>
  <c r="S69" i="1"/>
  <c r="M69" i="1"/>
  <c r="S68" i="1"/>
  <c r="M68" i="1"/>
  <c r="S67" i="1"/>
  <c r="M67" i="1"/>
  <c r="S66" i="1"/>
  <c r="M66" i="1"/>
  <c r="S65" i="1"/>
  <c r="M65" i="1"/>
  <c r="S64" i="1"/>
  <c r="M64" i="1"/>
  <c r="S63" i="1"/>
  <c r="M63" i="1"/>
  <c r="S62" i="1"/>
  <c r="M62" i="1"/>
  <c r="S61" i="1"/>
  <c r="M61" i="1"/>
  <c r="S60" i="1"/>
  <c r="M60" i="1"/>
  <c r="S59" i="1"/>
  <c r="M59" i="1"/>
  <c r="S58" i="1"/>
  <c r="M58" i="1"/>
  <c r="S57" i="1"/>
  <c r="M57" i="1"/>
  <c r="S56" i="1"/>
  <c r="M56" i="1"/>
  <c r="S55" i="1"/>
  <c r="M55" i="1"/>
  <c r="S54" i="1"/>
  <c r="M54" i="1"/>
  <c r="S53" i="1"/>
  <c r="M53" i="1"/>
  <c r="S52" i="1"/>
  <c r="M52" i="1"/>
  <c r="S51" i="1"/>
  <c r="M51" i="1"/>
  <c r="S50" i="1"/>
  <c r="M50" i="1"/>
  <c r="S49" i="1"/>
  <c r="M49" i="1"/>
  <c r="S48" i="1"/>
  <c r="M48" i="1"/>
  <c r="S47" i="1"/>
  <c r="M47" i="1"/>
  <c r="S46" i="1"/>
  <c r="M46" i="1"/>
  <c r="S45" i="1"/>
  <c r="M45" i="1"/>
  <c r="S44" i="1"/>
  <c r="M44" i="1"/>
  <c r="S43" i="1"/>
  <c r="M43" i="1"/>
  <c r="S42" i="1"/>
  <c r="M42" i="1"/>
  <c r="S41" i="1"/>
  <c r="M41" i="1"/>
  <c r="S40" i="1"/>
  <c r="M40" i="1"/>
  <c r="S39" i="1"/>
  <c r="M39" i="1"/>
  <c r="S38" i="1"/>
  <c r="M38" i="1"/>
  <c r="S37" i="1"/>
  <c r="M37" i="1"/>
  <c r="S36" i="1"/>
  <c r="M36" i="1"/>
  <c r="S35" i="1"/>
  <c r="M35" i="1"/>
  <c r="S34" i="1"/>
  <c r="M34" i="1"/>
  <c r="S33" i="1"/>
  <c r="M33" i="1"/>
  <c r="S32" i="1"/>
  <c r="M32" i="1"/>
  <c r="S31" i="1"/>
  <c r="M31" i="1"/>
  <c r="S30" i="1"/>
  <c r="M30" i="1"/>
  <c r="S29" i="1"/>
  <c r="M29" i="1"/>
  <c r="S28" i="1"/>
  <c r="M28" i="1"/>
  <c r="S27" i="1"/>
  <c r="M27" i="1"/>
  <c r="S26" i="1"/>
  <c r="M26" i="1"/>
  <c r="S25" i="1"/>
  <c r="M25" i="1"/>
  <c r="S24" i="1"/>
  <c r="M24" i="1"/>
  <c r="S23" i="1"/>
  <c r="M23" i="1"/>
  <c r="S22" i="1"/>
  <c r="M22" i="1"/>
  <c r="S21" i="1"/>
  <c r="M21" i="1"/>
  <c r="S20" i="1"/>
  <c r="M20" i="1"/>
  <c r="S19" i="1"/>
  <c r="M19" i="1"/>
  <c r="S18" i="1"/>
  <c r="M18" i="1"/>
  <c r="S17" i="1"/>
  <c r="M17" i="1"/>
  <c r="S16" i="1"/>
  <c r="M16" i="1"/>
  <c r="S15" i="1"/>
  <c r="M15" i="1"/>
  <c r="S14" i="1"/>
  <c r="M14" i="1"/>
  <c r="S13" i="1"/>
  <c r="M13" i="1"/>
  <c r="S12" i="1"/>
  <c r="M12" i="1"/>
  <c r="S11" i="1"/>
  <c r="M11" i="1"/>
  <c r="S10" i="1"/>
  <c r="M10" i="1"/>
  <c r="S9" i="1"/>
  <c r="M9" i="1"/>
  <c r="S8" i="1"/>
  <c r="M8" i="1"/>
  <c r="S7" i="1"/>
  <c r="M7" i="1"/>
  <c r="S6" i="1"/>
  <c r="M6" i="1"/>
  <c r="S5" i="1"/>
  <c r="M5" i="1"/>
  <c r="S4" i="1"/>
  <c r="M4" i="1"/>
  <c r="S3" i="1"/>
  <c r="M3" i="1"/>
  <c r="S2" i="1"/>
  <c r="M2" i="1"/>
</calcChain>
</file>

<file path=xl/sharedStrings.xml><?xml version="1.0" encoding="utf-8"?>
<sst xmlns="http://schemas.openxmlformats.org/spreadsheetml/2006/main" count="750" uniqueCount="272">
  <si>
    <t>Company</t>
  </si>
  <si>
    <t>Sector</t>
  </si>
  <si>
    <t>Fund</t>
  </si>
  <si>
    <t>Stage</t>
  </si>
  <si>
    <t>Status</t>
  </si>
  <si>
    <t>First Investment</t>
  </si>
  <si>
    <t>Latest Round</t>
  </si>
  <si>
    <t>Latest Post-Money ($M)</t>
  </si>
  <si>
    <t>Invested ($M)</t>
  </si>
  <si>
    <t>Ownership (FD %)</t>
  </si>
  <si>
    <t>Prior Mark ($M)</t>
  </si>
  <si>
    <t>Realized ($M)</t>
  </si>
  <si>
    <t>MOIC (x)</t>
  </si>
  <si>
    <t>ARR ($M)</t>
  </si>
  <si>
    <t>ARR Growth (YoY %)</t>
  </si>
  <si>
    <t>Gross Margin (%)</t>
  </si>
  <si>
    <t>Net Burn ($M/mo)</t>
  </si>
  <si>
    <t>Cash ($M)</t>
  </si>
  <si>
    <t>Runway (mo)</t>
  </si>
  <si>
    <t>Headcount</t>
  </si>
  <si>
    <t>Aravine</t>
  </si>
  <si>
    <t>Climate &amp; Energy</t>
  </si>
  <si>
    <t>Fund I</t>
  </si>
  <si>
    <t>Series A</t>
  </si>
  <si>
    <t>Active</t>
  </si>
  <si>
    <t>Beltrix</t>
  </si>
  <si>
    <t>Fintech</t>
  </si>
  <si>
    <t>Fund II</t>
  </si>
  <si>
    <t>Cindral</t>
  </si>
  <si>
    <t>Developer Tools</t>
  </si>
  <si>
    <t>Series B</t>
  </si>
  <si>
    <t>Dovelane Systems</t>
  </si>
  <si>
    <t>Emberfold</t>
  </si>
  <si>
    <t>Cybersecurity</t>
  </si>
  <si>
    <t>Fund III</t>
  </si>
  <si>
    <t>Seed</t>
  </si>
  <si>
    <t>Fernwave</t>
  </si>
  <si>
    <t>Infrastructure</t>
  </si>
  <si>
    <t>Series C</t>
  </si>
  <si>
    <t>Gryphonel</t>
  </si>
  <si>
    <t>AI/ML</t>
  </si>
  <si>
    <t>Halcyra</t>
  </si>
  <si>
    <t>Ironquill Security</t>
  </si>
  <si>
    <t>Jettamar</t>
  </si>
  <si>
    <t>Enterprise SaaS</t>
  </si>
  <si>
    <t>Kolvani Health</t>
  </si>
  <si>
    <t>Acquired</t>
  </si>
  <si>
    <t>Lumetra</t>
  </si>
  <si>
    <t>Marrowick Bio</t>
  </si>
  <si>
    <t>Nimbrel</t>
  </si>
  <si>
    <t>Ostrella</t>
  </si>
  <si>
    <t>Space &amp; Defense</t>
  </si>
  <si>
    <t>Series D+</t>
  </si>
  <si>
    <t>Pellagrin</t>
  </si>
  <si>
    <t>Quindle</t>
  </si>
  <si>
    <t>Rivenmark</t>
  </si>
  <si>
    <t>Solvantra</t>
  </si>
  <si>
    <t>Tarnwick Aerospace</t>
  </si>
  <si>
    <t>Umberly</t>
  </si>
  <si>
    <t>Vexmoor</t>
  </si>
  <si>
    <t>Wrenfield Data</t>
  </si>
  <si>
    <t>Xalorin</t>
  </si>
  <si>
    <t>Yondermist</t>
  </si>
  <si>
    <t>Healthcare</t>
  </si>
  <si>
    <t>Zephrine</t>
  </si>
  <si>
    <t>Arcfoundry</t>
  </si>
  <si>
    <t>Brumewell</t>
  </si>
  <si>
    <t>Cascabel Labs</t>
  </si>
  <si>
    <t>Drayvenn</t>
  </si>
  <si>
    <t>Eastport Compute</t>
  </si>
  <si>
    <t>Fallowmere</t>
  </si>
  <si>
    <t>Data &amp; Analytics</t>
  </si>
  <si>
    <t>Glintworks</t>
  </si>
  <si>
    <t>Hollowpine Robotics</t>
  </si>
  <si>
    <t>Isoquill</t>
  </si>
  <si>
    <t>Jupelan</t>
  </si>
  <si>
    <t>Kestwick</t>
  </si>
  <si>
    <t>Larkspell</t>
  </si>
  <si>
    <t>Consumer</t>
  </si>
  <si>
    <t>Mossbriar Bio</t>
  </si>
  <si>
    <t>Nightloom Security</t>
  </si>
  <si>
    <t>Oakenvale</t>
  </si>
  <si>
    <t>Pinwhistle</t>
  </si>
  <si>
    <t>Quarrystone AI</t>
  </si>
  <si>
    <t>Redgrove Health</t>
  </si>
  <si>
    <t>Robotics</t>
  </si>
  <si>
    <t>Saltmarsh Analytics</t>
  </si>
  <si>
    <t>Thistledown Energy</t>
  </si>
  <si>
    <t>Underbough</t>
  </si>
  <si>
    <t>Vellichor Systems</t>
  </si>
  <si>
    <t>Westwilder</t>
  </si>
  <si>
    <t>Yarrowbank</t>
  </si>
  <si>
    <t>Zinniafold</t>
  </si>
  <si>
    <t>Ambercrest</t>
  </si>
  <si>
    <t>Birchhollow</t>
  </si>
  <si>
    <t>Covebright</t>
  </si>
  <si>
    <t>Duskfern</t>
  </si>
  <si>
    <t>Elmsworth Data</t>
  </si>
  <si>
    <t>Foxtrellis</t>
  </si>
  <si>
    <t>Gorseline</t>
  </si>
  <si>
    <t>Hearthwick</t>
  </si>
  <si>
    <t>Inkmoor</t>
  </si>
  <si>
    <t>Jadewell Payments</t>
  </si>
  <si>
    <t>Kilnbrook</t>
  </si>
  <si>
    <t>Loamfield Robotics</t>
  </si>
  <si>
    <t>Mirthstone</t>
  </si>
  <si>
    <t>Nettlebay</t>
  </si>
  <si>
    <t>Orchardline</t>
  </si>
  <si>
    <t>Palefire Labs</t>
  </si>
  <si>
    <t>Quillshade</t>
  </si>
  <si>
    <t>Rushlight AI</t>
  </si>
  <si>
    <t>Stonegather</t>
  </si>
  <si>
    <t>Tidewell Health</t>
  </si>
  <si>
    <t>Umbrelight</t>
  </si>
  <si>
    <t>Vinecroft</t>
  </si>
  <si>
    <t>Willowmere Compute</t>
  </si>
  <si>
    <t>Xylotta</t>
  </si>
  <si>
    <t>Yewbranch Security</t>
  </si>
  <si>
    <t>Zealwick</t>
  </si>
  <si>
    <t>Alderpoint</t>
  </si>
  <si>
    <t>Brackenvale</t>
  </si>
  <si>
    <t>Coppermoss Energy</t>
  </si>
  <si>
    <t>Dellforge</t>
  </si>
  <si>
    <t>Everbrook Analytics</t>
  </si>
  <si>
    <t>Shut Down</t>
  </si>
  <si>
    <t>Fenwright</t>
  </si>
  <si>
    <t>Gablewood</t>
  </si>
  <si>
    <t>Harrowgate Bio</t>
  </si>
  <si>
    <t>Islewind</t>
  </si>
  <si>
    <t>Juttermill</t>
  </si>
  <si>
    <t>Knollward</t>
  </si>
  <si>
    <t>Lanternfell Space</t>
  </si>
  <si>
    <t>Mardellan</t>
  </si>
  <si>
    <t>Northquill</t>
  </si>
  <si>
    <t>Oxbowlane</t>
  </si>
  <si>
    <t>Petrelbay</t>
  </si>
  <si>
    <t>Quenchpoint Energy</t>
  </si>
  <si>
    <t>Saffronwell</t>
  </si>
  <si>
    <t>Thornmill Systems</t>
  </si>
  <si>
    <t>Uplandreach</t>
  </si>
  <si>
    <t>Ventabrook</t>
  </si>
  <si>
    <t>Wildebrook</t>
  </si>
  <si>
    <t>Zerocrest</t>
  </si>
  <si>
    <t>Date</t>
  </si>
  <si>
    <t>Event</t>
  </si>
  <si>
    <t>Detail</t>
  </si>
  <si>
    <t>Post-Money / Deal Value ($M)</t>
  </si>
  <si>
    <t>HC Investment ($M)</t>
  </si>
  <si>
    <t>HC Ownership After (FD %)</t>
  </si>
  <si>
    <t>Proceeds to HC ($M)</t>
  </si>
  <si>
    <t>Notes</t>
  </si>
  <si>
    <t>Priced Equity Round</t>
  </si>
  <si>
    <t>$28.7M round led by a new investor. HC did not participate.</t>
  </si>
  <si>
    <t>$10.8M round led by a new investor. HC participated pro rata.</t>
  </si>
  <si>
    <t>$12.1M round led by a new investor. HC participated pro rata.</t>
  </si>
  <si>
    <t>Series D</t>
  </si>
  <si>
    <t>$341.8M round led by a new investor. HC did not participate.</t>
  </si>
  <si>
    <t>Series B extension (same terms)</t>
  </si>
  <si>
    <t>Extension of the prior round at the same post-money.</t>
  </si>
  <si>
    <t>Acquisition (Closed)</t>
  </si>
  <si>
    <t>All-cash acquisition</t>
  </si>
  <si>
    <t>Transaction closed and cash received during the quarter.</t>
  </si>
  <si>
    <t>Secondary Sale</t>
  </si>
  <si>
    <t>HC sold 30% of its position</t>
  </si>
  <si>
    <t>Buyer paid a price consistent with the latest round.</t>
  </si>
  <si>
    <t>Convertible Note</t>
  </si>
  <si>
    <t>$8.5M bridge note, $32.0M valuation cap</t>
  </si>
  <si>
    <t>Uncapped interest, converts at next priced round.</t>
  </si>
  <si>
    <t>$26.4M round led by a new investor. HC did not participate.</t>
  </si>
  <si>
    <t>$211.5M round led by a new investor. HC did not participate.</t>
  </si>
  <si>
    <t>$4.7M bridge note, $133.0M valuation cap</t>
  </si>
  <si>
    <t>Uncapped interest, converts at next priced round. HC participated in the note.</t>
  </si>
  <si>
    <t>Series B (recap)</t>
  </si>
  <si>
    <t>$7.8M insider-led round. HC did not participate.</t>
  </si>
  <si>
    <t>Series A (recap)</t>
  </si>
  <si>
    <t>$4.1M insider-led round. HC participated.</t>
  </si>
  <si>
    <t>Acquisition (Announced)</t>
  </si>
  <si>
    <t>Definitive agreement signed, all cash</t>
  </si>
  <si>
    <t>Expected to close in Q4 2026, subject to regulatory approval. No cash received.</t>
  </si>
  <si>
    <t>Shutdown</t>
  </si>
  <si>
    <t>Ceased operations</t>
  </si>
  <si>
    <t>Board voted to wind down. Residual cash distributed to investors.</t>
  </si>
  <si>
    <t>Term Sheet Signed</t>
  </si>
  <si>
    <t>Series B term sheet at ~$50.0M post</t>
  </si>
  <si>
    <t>Not closed; diligence underway, expected to close Q4.</t>
  </si>
  <si>
    <t>IPO</t>
  </si>
  <si>
    <t>Listed on Nasdaq</t>
  </si>
  <si>
    <t>Priced at the top of the range. HC shares subject to a 180-day lock-up.</t>
  </si>
  <si>
    <t>Board voted to wind down. No recovery expected.</t>
  </si>
  <si>
    <t>Ownership Adjustment</t>
  </si>
  <si>
    <t>Option pool expansion</t>
  </si>
  <si>
    <t>Option pool expanded by 200 basis points. No new money and no new price.</t>
  </si>
  <si>
    <t>Secondary Purchase</t>
  </si>
  <si>
    <t>Bought 1.5% from a founding angel</t>
  </si>
  <si>
    <t>HC bought 1.5% from a founding angel at a price consistent with the last round.</t>
  </si>
  <si>
    <t>Series C (recap)</t>
  </si>
  <si>
    <t>$22.0M recapitalisation at half the prior post-money. HC participated to protect its position.</t>
  </si>
  <si>
    <t>$3.0M bridge note, $85.0M valuation cap</t>
  </si>
  <si>
    <t>Distribution</t>
  </si>
  <si>
    <t>Indemnity escrow released</t>
  </si>
  <si>
    <t>Escrow from the December 2024 acquisition released in full. No change in the stake.</t>
  </si>
  <si>
    <t>Series B led by HC</t>
  </si>
  <si>
    <t>$12.0M round led by HC. No outside lead set the price.</t>
  </si>
  <si>
    <t>Series A, structured</t>
  </si>
  <si>
    <t>$8.0M round with a 2x participating preference and full-ratchet anti-dilution. HC did not participate.</t>
  </si>
  <si>
    <t>Anti-dilution ratchet applied</t>
  </si>
  <si>
    <t>Ratchet triggered on the last financing. HC's stake rose with no new investment.</t>
  </si>
  <si>
    <t>All-cash acquisition with escrow</t>
  </si>
  <si>
    <t>Transaction closed. $3.1M of HC's entitlement is held in a 12-month escrow.</t>
  </si>
  <si>
    <t>Series A, internal round</t>
  </si>
  <si>
    <t>Priced at 3.8x the last round. Existing holders only.</t>
  </si>
  <si>
    <t>HC sold 40% of its position</t>
  </si>
  <si>
    <t>Block sold to a crossover fund at a 24% discount to the latest round.</t>
  </si>
  <si>
    <t>Acquisition (Terminated)</t>
  </si>
  <si>
    <t>Buyer withdrew after diligence</t>
  </si>
  <si>
    <t>The acquisition announced in June was terminated. A $0.5M break fee was received.</t>
  </si>
  <si>
    <t>$26.0M round led by a new investor. HC's investment and the stated post-money do not reconcile.</t>
  </si>
  <si>
    <t>Bankruptcy (Chapter 11)</t>
  </si>
  <si>
    <t>Filed for reorganisation</t>
  </si>
  <si>
    <t>Operations continue under debtor-in-possession financing. Recovery to equity unknown.</t>
  </si>
  <si>
    <t>Series C term sheet at $190.0M post</t>
  </si>
  <si>
    <t>Term sheet at 66% of the latest round. Not closed; diligence underway.</t>
  </si>
  <si>
    <t>Direct Listing</t>
  </si>
  <si>
    <t>Direct listing on the NYSE</t>
  </si>
  <si>
    <t>No new capital raised and no underwriter. HC shares are not subject to a lock-up.</t>
  </si>
  <si>
    <t>All-stock acquisition by a listed buyer</t>
  </si>
  <si>
    <t>Consideration was entirely acquirer stock. HC received listed shares and no cash.</t>
  </si>
  <si>
    <t>SPAC Merger</t>
  </si>
  <si>
    <t>Combination with a listed acquisition vehicle</t>
  </si>
  <si>
    <t>Closed alongside a $60.0M PIPE. HC's shares carry a 12-month lock-up.</t>
  </si>
  <si>
    <t>Listed on a foreign exchange</t>
  </si>
  <si>
    <t>Listed September 29. HC shares subject to a 180-day lock-up.</t>
  </si>
  <si>
    <t>Field</t>
  </si>
  <si>
    <t>Definition</t>
  </si>
  <si>
    <t>PORTFOLIO TAB</t>
  </si>
  <si>
    <t>Fictional portfolio company. Every name in this workbook is invented for this exercise.</t>
  </si>
  <si>
    <t>Primary sector classification.</t>
  </si>
  <si>
    <t>Synthetic fund vehicle that holds the investment (Fund I, Fund II, Fund III).</t>
  </si>
  <si>
    <t>Most recent priced round as of June 30, 2026.</t>
  </si>
  <si>
    <t>Active, Acquired, or Shut Down as of June 30, 2026. Operating metrics are blank for non-active companies.</t>
  </si>
  <si>
    <t>Date of the fund's initial investment.</t>
  </si>
  <si>
    <t>Date of the most recent priced round as of June 30, 2026.</t>
  </si>
  <si>
    <t>Post-money valuation of that round, USD millions.</t>
  </si>
  <si>
    <t>Total invested capital as of June 30, 2026, USD millions.</t>
  </si>
  <si>
    <t>Fully diluted ownership as of June 30, 2026.</t>
  </si>
  <si>
    <t>Carrying fair value at the June 30, 2026 close: Ownership x Latest Post-Money.</t>
  </si>
  <si>
    <t>Cumulative proceeds returned from exits as of June 30, 2026.</t>
  </si>
  <si>
    <t>Live formula: (Prior Mark + Realized) / Invested.</t>
  </si>
  <si>
    <t>Annual recurring revenue (annualized revenue for non-SaaS), USD millions. Blank if pre-revenue or inactive.</t>
  </si>
  <si>
    <t>Year-over-year ARR growth. Blank when the prior-year base is too small to be meaningful.</t>
  </si>
  <si>
    <t>Blended gross margin.</t>
  </si>
  <si>
    <t>Average net cash burn per month. Zero means cash-flow breakeven.</t>
  </si>
  <si>
    <t>Cash and equivalents on hand.</t>
  </si>
  <si>
    <t>Live formula: Cash / Net Burn. Shows "-" when burn is zero or the company is inactive.</t>
  </si>
  <si>
    <t>Full-time employees.</t>
  </si>
  <si>
    <t>Q3 2026 ACTIVITY TAB</t>
  </si>
  <si>
    <t>Date the event occurred or was signed.</t>
  </si>
  <si>
    <t>Priced Equity Round, Convertible Note, IPO, Acquisition (Closed), Acquisition (Announced), Shutdown, Secondary Sale, or Term Sheet Signed.</t>
  </si>
  <si>
    <t>Round name or a one-line description of the event.</t>
  </si>
  <si>
    <t>New post-money for rounds, market capitalization for the IPO, deal value for acquisitions, implied valuation for secondaries. Blank where not applicable.</t>
  </si>
  <si>
    <t>New capital HC put in as part of the event, if any.</t>
  </si>
  <si>
    <t>HC's fully diluted ownership immediately after the event, where the event changes it.</t>
  </si>
  <si>
    <t>Cash actually received by HC during the quarter from the event, if any.</t>
  </si>
  <si>
    <t>Context that may matter for treatment.</t>
  </si>
  <si>
    <t>1</t>
  </si>
  <si>
    <t>All data is synthetic, generated by Human Capital Finance for a candidate assessment (September 2026). It contains no real company, fund, or investor information.</t>
  </si>
  <si>
    <t>2</t>
  </si>
  <si>
    <t>The Portfolio tab is the book as of the June 30, 2026 close; operating metrics reflect the most recent reporting available as of late August 2026. This exercise proposes marks as of September 30, 2026.</t>
  </si>
  <si>
    <t>3</t>
  </si>
  <si>
    <t>The Q3 2026 Activity tab lists every portfolio event between July 1 and September 30, 2026. A company that does not appear on that tab had no activity during the quarter.</t>
  </si>
  <si>
    <t>4</t>
  </si>
  <si>
    <t>MOIC (x) and Runway (mo) are live formulas; every other cell is a hardcoded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</si>
</sst>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\$#,##0.0"/>
    <numFmt numFmtId="166" formatCode="0.0%"/>
    <numFmt numFmtId="167" formatCode="0.0\x"/>
    <numFmt numFmtId="168" formatCode="\$#,##0.00"/>
    <numFmt numFmtId="169" formatCode="0.0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7F6F2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6D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right"/>
    </xf>
    <xf numFmtId="167" fontId="2" fillId="3" borderId="1" xfId="0" applyNumberFormat="1" applyFont="1" applyFill="1" applyBorder="1" applyAlignment="1">
      <alignment horizontal="right"/>
    </xf>
    <xf numFmtId="9" fontId="2" fillId="3" borderId="1" xfId="0" applyNumberFormat="1" applyFont="1" applyFill="1" applyBorder="1" applyAlignment="1">
      <alignment horizontal="right"/>
    </xf>
    <xf numFmtId="168" fontId="2" fillId="3" borderId="1" xfId="0" applyNumberFormat="1" applyFont="1" applyFill="1" applyBorder="1" applyAlignment="1">
      <alignment horizontal="right"/>
    </xf>
    <xf numFmtId="169" fontId="2" fillId="3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167" fontId="2" fillId="0" borderId="1" xfId="0" applyNumberFormat="1" applyFont="1" applyBorder="1" applyAlignment="1">
      <alignment horizontal="right"/>
    </xf>
    <xf numFmtId="9" fontId="2" fillId="0" borderId="1" xfId="0" applyNumberFormat="1" applyFont="1" applyBorder="1" applyAlignment="1">
      <alignment horizontal="right"/>
    </xf>
    <xf numFmtId="168" fontId="2" fillId="0" borderId="1" xfId="0" applyNumberFormat="1" applyFont="1" applyBorder="1" applyAlignment="1">
      <alignment horizontal="right"/>
    </xf>
    <xf numFmtId="169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164" fontId="2" fillId="3" borderId="1" xfId="0" applyNumberFormat="1" applyFont="1" applyFill="1" applyBorder="1"/>
    <xf numFmtId="164" fontId="2" fillId="0" borderId="1" xfId="0" applyNumberFormat="1" applyFont="1" applyBorder="1"/>
    <xf numFmtId="0" fontId="3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6F2"/>
      <rgbColor rgb="FFCCFFFF"/>
      <rgbColor rgb="FF660066"/>
      <rgbColor rgb="FFFF8080"/>
      <rgbColor rgb="FF0066CC"/>
      <rgbColor rgb="FFD9D6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zoomScaleNormal="100" workbookViewId="0">
      <pane xSplit="1" ySplit="1" topLeftCell="B8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22" customWidth="1"/>
    <col min="2" max="2" width="15" customWidth="1"/>
    <col min="3" max="3" width="9" customWidth="1"/>
    <col min="4" max="4" width="10" customWidth="1"/>
    <col min="5" max="5" width="11" customWidth="1"/>
    <col min="6" max="8" width="13" customWidth="1"/>
    <col min="9" max="12" width="11" customWidth="1"/>
    <col min="13" max="13" width="8" customWidth="1"/>
    <col min="14" max="14" width="10" customWidth="1"/>
    <col min="15" max="15" width="11" customWidth="1"/>
    <col min="16" max="16" width="10" customWidth="1"/>
    <col min="17" max="17" width="11" customWidth="1"/>
    <col min="18" max="18" width="10" customWidth="1"/>
    <col min="19" max="19" width="9" customWidth="1"/>
    <col min="20" max="20" width="10" customWidth="1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" customHeight="1" x14ac:dyDescent="0.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3">
        <v>43834</v>
      </c>
      <c r="G2" s="3">
        <v>44264</v>
      </c>
      <c r="H2" s="4">
        <v>50.8</v>
      </c>
      <c r="I2" s="4">
        <v>6</v>
      </c>
      <c r="J2" s="5">
        <v>0.13600000000000001</v>
      </c>
      <c r="K2" s="4">
        <v>6.9</v>
      </c>
      <c r="L2" s="4">
        <v>0</v>
      </c>
      <c r="M2" s="6">
        <f t="shared" ref="M2:M33" si="0">(K2+L2)/I2</f>
        <v>1.1500000000000001</v>
      </c>
      <c r="N2" s="4">
        <v>3.4</v>
      </c>
      <c r="O2" s="7">
        <v>0.83</v>
      </c>
      <c r="P2" s="7">
        <v>0.49</v>
      </c>
      <c r="Q2" s="8">
        <v>0.54</v>
      </c>
      <c r="R2" s="4">
        <v>18.100000000000001</v>
      </c>
      <c r="S2" s="9">
        <f t="shared" ref="S2:S33" si="1">IF(AND(ISNUMBER(Q2),Q2&gt;0),R2/Q2,"-")</f>
        <v>33.518518518518519</v>
      </c>
      <c r="T2" s="10">
        <v>28</v>
      </c>
    </row>
    <row r="3" spans="1:20" ht="15" customHeight="1" x14ac:dyDescent="0.2">
      <c r="A3" s="11" t="s">
        <v>25</v>
      </c>
      <c r="B3" s="11" t="s">
        <v>26</v>
      </c>
      <c r="C3" s="11" t="s">
        <v>27</v>
      </c>
      <c r="D3" s="11" t="s">
        <v>23</v>
      </c>
      <c r="E3" s="11" t="s">
        <v>24</v>
      </c>
      <c r="F3" s="12">
        <v>44507</v>
      </c>
      <c r="G3" s="12">
        <v>45478</v>
      </c>
      <c r="H3" s="13">
        <v>61.3</v>
      </c>
      <c r="I3" s="13">
        <v>6</v>
      </c>
      <c r="J3" s="14">
        <v>0.13200000000000001</v>
      </c>
      <c r="K3" s="13">
        <v>8.1</v>
      </c>
      <c r="L3" s="13">
        <v>0</v>
      </c>
      <c r="M3" s="15">
        <f t="shared" si="0"/>
        <v>1.3499999999999999</v>
      </c>
      <c r="N3" s="13">
        <v>5.0999999999999996</v>
      </c>
      <c r="O3" s="16">
        <v>1.08</v>
      </c>
      <c r="P3" s="16">
        <v>0.67</v>
      </c>
      <c r="Q3" s="17">
        <v>0.52</v>
      </c>
      <c r="R3" s="13">
        <v>3.1</v>
      </c>
      <c r="S3" s="18">
        <f t="shared" si="1"/>
        <v>5.9615384615384617</v>
      </c>
      <c r="T3" s="19">
        <v>24</v>
      </c>
    </row>
    <row r="4" spans="1:20" ht="15" customHeight="1" x14ac:dyDescent="0.2">
      <c r="A4" s="2" t="s">
        <v>28</v>
      </c>
      <c r="B4" s="2" t="s">
        <v>29</v>
      </c>
      <c r="C4" s="2" t="s">
        <v>22</v>
      </c>
      <c r="D4" s="2" t="s">
        <v>30</v>
      </c>
      <c r="E4" s="2" t="s">
        <v>24</v>
      </c>
      <c r="F4" s="3">
        <v>43583</v>
      </c>
      <c r="G4" s="3">
        <v>44383</v>
      </c>
      <c r="H4" s="4">
        <v>209.5</v>
      </c>
      <c r="I4" s="4">
        <v>10</v>
      </c>
      <c r="J4" s="5">
        <v>8.6999999999999994E-2</v>
      </c>
      <c r="K4" s="4">
        <v>18.2</v>
      </c>
      <c r="L4" s="4">
        <v>0</v>
      </c>
      <c r="M4" s="6">
        <f t="shared" si="0"/>
        <v>1.8199999999999998</v>
      </c>
      <c r="N4" s="4">
        <v>27.3</v>
      </c>
      <c r="O4" s="7">
        <v>0.93</v>
      </c>
      <c r="P4" s="7">
        <v>0.8</v>
      </c>
      <c r="Q4" s="8">
        <v>1.44</v>
      </c>
      <c r="R4" s="4">
        <v>48.2</v>
      </c>
      <c r="S4" s="9">
        <f t="shared" si="1"/>
        <v>33.472222222222229</v>
      </c>
      <c r="T4" s="10">
        <v>128</v>
      </c>
    </row>
    <row r="5" spans="1:20" ht="15" customHeight="1" x14ac:dyDescent="0.2">
      <c r="A5" s="11" t="s">
        <v>31</v>
      </c>
      <c r="B5" s="11" t="s">
        <v>26</v>
      </c>
      <c r="C5" s="11" t="s">
        <v>27</v>
      </c>
      <c r="D5" s="11" t="s">
        <v>23</v>
      </c>
      <c r="E5" s="11" t="s">
        <v>24</v>
      </c>
      <c r="F5" s="12">
        <v>44623</v>
      </c>
      <c r="G5" s="12">
        <v>45282</v>
      </c>
      <c r="H5" s="13">
        <v>53.9</v>
      </c>
      <c r="I5" s="13">
        <v>4</v>
      </c>
      <c r="J5" s="14">
        <v>7.5999999999999998E-2</v>
      </c>
      <c r="K5" s="13">
        <v>4.0999999999999996</v>
      </c>
      <c r="L5" s="13">
        <v>0</v>
      </c>
      <c r="M5" s="15">
        <f t="shared" si="0"/>
        <v>1.0249999999999999</v>
      </c>
      <c r="N5" s="13">
        <v>2.5</v>
      </c>
      <c r="O5" s="16">
        <v>1.86</v>
      </c>
      <c r="P5" s="16">
        <v>0.66</v>
      </c>
      <c r="Q5" s="17">
        <v>0.32</v>
      </c>
      <c r="R5" s="13">
        <v>8.1999999999999993</v>
      </c>
      <c r="S5" s="18">
        <f t="shared" si="1"/>
        <v>25.624999999999996</v>
      </c>
      <c r="T5" s="19">
        <v>65</v>
      </c>
    </row>
    <row r="6" spans="1:20" ht="15" customHeight="1" x14ac:dyDescent="0.2">
      <c r="A6" s="2" t="s">
        <v>32</v>
      </c>
      <c r="B6" s="2" t="s">
        <v>33</v>
      </c>
      <c r="C6" s="2" t="s">
        <v>34</v>
      </c>
      <c r="D6" s="2" t="s">
        <v>35</v>
      </c>
      <c r="E6" s="2" t="s">
        <v>24</v>
      </c>
      <c r="F6" s="3">
        <v>45681</v>
      </c>
      <c r="G6" s="3">
        <v>45681</v>
      </c>
      <c r="H6" s="4">
        <v>22.5</v>
      </c>
      <c r="I6" s="4">
        <v>2.5</v>
      </c>
      <c r="J6" s="5">
        <v>7.8E-2</v>
      </c>
      <c r="K6" s="4">
        <v>1.8</v>
      </c>
      <c r="L6" s="4">
        <v>0</v>
      </c>
      <c r="M6" s="6">
        <f t="shared" si="0"/>
        <v>0.72</v>
      </c>
      <c r="N6" s="4">
        <v>0.7</v>
      </c>
      <c r="O6" s="7">
        <v>2.0699999999999998</v>
      </c>
      <c r="P6" s="7">
        <v>0.76</v>
      </c>
      <c r="Q6" s="8">
        <v>0.13</v>
      </c>
      <c r="R6" s="4">
        <v>1.7</v>
      </c>
      <c r="S6" s="9">
        <f t="shared" si="1"/>
        <v>13.076923076923077</v>
      </c>
      <c r="T6" s="10">
        <v>18</v>
      </c>
    </row>
    <row r="7" spans="1:20" ht="15" customHeight="1" x14ac:dyDescent="0.2">
      <c r="A7" s="11" t="s">
        <v>36</v>
      </c>
      <c r="B7" s="11" t="s">
        <v>37</v>
      </c>
      <c r="C7" s="11" t="s">
        <v>22</v>
      </c>
      <c r="D7" s="11" t="s">
        <v>38</v>
      </c>
      <c r="E7" s="11" t="s">
        <v>24</v>
      </c>
      <c r="F7" s="12">
        <v>43876</v>
      </c>
      <c r="G7" s="12">
        <v>44082</v>
      </c>
      <c r="H7" s="13">
        <v>785.4</v>
      </c>
      <c r="I7" s="13">
        <v>10.3</v>
      </c>
      <c r="J7" s="14">
        <v>4.9000000000000002E-2</v>
      </c>
      <c r="K7" s="13">
        <v>38.5</v>
      </c>
      <c r="L7" s="13">
        <v>0</v>
      </c>
      <c r="M7" s="15">
        <f t="shared" si="0"/>
        <v>3.7378640776699026</v>
      </c>
      <c r="N7" s="13">
        <v>80.099999999999994</v>
      </c>
      <c r="O7" s="16">
        <v>0.69</v>
      </c>
      <c r="P7" s="16">
        <v>0.65</v>
      </c>
      <c r="Q7" s="17">
        <v>2.06</v>
      </c>
      <c r="R7" s="13">
        <v>66.099999999999994</v>
      </c>
      <c r="S7" s="18">
        <f t="shared" si="1"/>
        <v>32.087378640776699</v>
      </c>
      <c r="T7" s="19">
        <v>500</v>
      </c>
    </row>
    <row r="8" spans="1:20" ht="15" customHeight="1" x14ac:dyDescent="0.2">
      <c r="A8" s="2" t="s">
        <v>39</v>
      </c>
      <c r="B8" s="2" t="s">
        <v>40</v>
      </c>
      <c r="C8" s="2" t="s">
        <v>22</v>
      </c>
      <c r="D8" s="2" t="s">
        <v>30</v>
      </c>
      <c r="E8" s="2" t="s">
        <v>24</v>
      </c>
      <c r="F8" s="3">
        <v>43778</v>
      </c>
      <c r="G8" s="3">
        <v>44081</v>
      </c>
      <c r="H8" s="4">
        <v>97</v>
      </c>
      <c r="I8" s="4">
        <v>4</v>
      </c>
      <c r="J8" s="5">
        <v>3.5999999999999997E-2</v>
      </c>
      <c r="K8" s="4">
        <v>3.5</v>
      </c>
      <c r="L8" s="4">
        <v>0</v>
      </c>
      <c r="M8" s="6">
        <f t="shared" si="0"/>
        <v>0.875</v>
      </c>
      <c r="N8" s="4">
        <v>14</v>
      </c>
      <c r="O8" s="7">
        <v>0.51</v>
      </c>
      <c r="P8" s="7">
        <v>0.68</v>
      </c>
      <c r="Q8" s="8">
        <v>0.56000000000000005</v>
      </c>
      <c r="R8" s="4">
        <v>14</v>
      </c>
      <c r="S8" s="9">
        <f t="shared" si="1"/>
        <v>24.999999999999996</v>
      </c>
      <c r="T8" s="10">
        <v>77</v>
      </c>
    </row>
    <row r="9" spans="1:20" ht="15" customHeight="1" x14ac:dyDescent="0.2">
      <c r="A9" s="11" t="s">
        <v>41</v>
      </c>
      <c r="B9" s="11" t="s">
        <v>33</v>
      </c>
      <c r="C9" s="11" t="s">
        <v>22</v>
      </c>
      <c r="D9" s="11" t="s">
        <v>23</v>
      </c>
      <c r="E9" s="11" t="s">
        <v>24</v>
      </c>
      <c r="F9" s="12">
        <v>43666</v>
      </c>
      <c r="G9" s="12">
        <v>44134</v>
      </c>
      <c r="H9" s="13">
        <v>31.3</v>
      </c>
      <c r="I9" s="13">
        <v>2</v>
      </c>
      <c r="J9" s="14">
        <v>8.5000000000000006E-2</v>
      </c>
      <c r="K9" s="13">
        <v>2.7</v>
      </c>
      <c r="L9" s="13">
        <v>0</v>
      </c>
      <c r="M9" s="15">
        <f t="shared" si="0"/>
        <v>1.35</v>
      </c>
      <c r="N9" s="13">
        <v>4.8</v>
      </c>
      <c r="O9" s="16">
        <v>1.7</v>
      </c>
      <c r="P9" s="16">
        <v>0.76</v>
      </c>
      <c r="Q9" s="17">
        <v>0.65</v>
      </c>
      <c r="R9" s="13">
        <v>10.5</v>
      </c>
      <c r="S9" s="18">
        <f t="shared" si="1"/>
        <v>16.153846153846153</v>
      </c>
      <c r="T9" s="19">
        <v>53</v>
      </c>
    </row>
    <row r="10" spans="1:20" ht="15" customHeight="1" x14ac:dyDescent="0.2">
      <c r="A10" s="2" t="s">
        <v>42</v>
      </c>
      <c r="B10" s="2" t="s">
        <v>29</v>
      </c>
      <c r="C10" s="2" t="s">
        <v>22</v>
      </c>
      <c r="D10" s="2" t="s">
        <v>38</v>
      </c>
      <c r="E10" s="2" t="s">
        <v>24</v>
      </c>
      <c r="F10" s="3">
        <v>44174</v>
      </c>
      <c r="G10" s="3">
        <v>45425</v>
      </c>
      <c r="H10" s="4">
        <v>304.60000000000002</v>
      </c>
      <c r="I10" s="4">
        <v>6</v>
      </c>
      <c r="J10" s="5">
        <v>5.1999999999999998E-2</v>
      </c>
      <c r="K10" s="4">
        <v>15.8</v>
      </c>
      <c r="L10" s="4">
        <v>0</v>
      </c>
      <c r="M10" s="6">
        <f t="shared" si="0"/>
        <v>2.6333333333333333</v>
      </c>
      <c r="N10" s="4">
        <v>76.7</v>
      </c>
      <c r="O10" s="7">
        <v>0.28000000000000003</v>
      </c>
      <c r="P10" s="7">
        <v>0.74</v>
      </c>
      <c r="Q10" s="8">
        <v>1.56</v>
      </c>
      <c r="R10" s="4">
        <v>22.6</v>
      </c>
      <c r="S10" s="9">
        <f t="shared" si="1"/>
        <v>14.487179487179487</v>
      </c>
      <c r="T10" s="10">
        <v>306</v>
      </c>
    </row>
    <row r="11" spans="1:20" ht="15" customHeight="1" x14ac:dyDescent="0.2">
      <c r="A11" s="11" t="s">
        <v>43</v>
      </c>
      <c r="B11" s="11" t="s">
        <v>44</v>
      </c>
      <c r="C11" s="11" t="s">
        <v>34</v>
      </c>
      <c r="D11" s="11" t="s">
        <v>35</v>
      </c>
      <c r="E11" s="11" t="s">
        <v>24</v>
      </c>
      <c r="F11" s="12">
        <v>45829</v>
      </c>
      <c r="G11" s="12">
        <v>46081</v>
      </c>
      <c r="H11" s="13">
        <v>27</v>
      </c>
      <c r="I11" s="13">
        <v>2.5</v>
      </c>
      <c r="J11" s="14">
        <v>0.108</v>
      </c>
      <c r="K11" s="13">
        <v>2.9</v>
      </c>
      <c r="L11" s="13">
        <v>0</v>
      </c>
      <c r="M11" s="15">
        <f t="shared" si="0"/>
        <v>1.1599999999999999</v>
      </c>
      <c r="N11" s="13">
        <v>1.2</v>
      </c>
      <c r="O11" s="16">
        <v>2.71</v>
      </c>
      <c r="P11" s="16">
        <v>0.69</v>
      </c>
      <c r="Q11" s="17">
        <v>0.23</v>
      </c>
      <c r="R11" s="13">
        <v>6.1</v>
      </c>
      <c r="S11" s="18">
        <f t="shared" si="1"/>
        <v>26.521739130434781</v>
      </c>
      <c r="T11" s="19">
        <v>11</v>
      </c>
    </row>
    <row r="12" spans="1:20" ht="15" customHeight="1" x14ac:dyDescent="0.2">
      <c r="A12" s="2" t="s">
        <v>45</v>
      </c>
      <c r="B12" s="2" t="s">
        <v>29</v>
      </c>
      <c r="C12" s="2" t="s">
        <v>27</v>
      </c>
      <c r="D12" s="2" t="s">
        <v>30</v>
      </c>
      <c r="E12" s="2" t="s">
        <v>46</v>
      </c>
      <c r="F12" s="3">
        <v>44594</v>
      </c>
      <c r="G12" s="3">
        <v>45653</v>
      </c>
      <c r="H12" s="4">
        <v>112.1</v>
      </c>
      <c r="I12" s="4">
        <v>5.8</v>
      </c>
      <c r="J12" s="5">
        <v>7.0999999999999994E-2</v>
      </c>
      <c r="K12" s="4">
        <v>0</v>
      </c>
      <c r="L12" s="4">
        <v>15.9</v>
      </c>
      <c r="M12" s="6">
        <f t="shared" si="0"/>
        <v>2.7413793103448278</v>
      </c>
      <c r="N12" s="20"/>
      <c r="O12" s="20"/>
      <c r="P12" s="20"/>
      <c r="Q12" s="20"/>
      <c r="R12" s="20"/>
      <c r="S12" s="9" t="str">
        <f t="shared" si="1"/>
        <v>-</v>
      </c>
      <c r="T12" s="20"/>
    </row>
    <row r="13" spans="1:20" ht="15" customHeight="1" x14ac:dyDescent="0.2">
      <c r="A13" s="11" t="s">
        <v>47</v>
      </c>
      <c r="B13" s="11" t="s">
        <v>40</v>
      </c>
      <c r="C13" s="11" t="s">
        <v>34</v>
      </c>
      <c r="D13" s="11" t="s">
        <v>35</v>
      </c>
      <c r="E13" s="11" t="s">
        <v>24</v>
      </c>
      <c r="F13" s="12">
        <v>46096</v>
      </c>
      <c r="G13" s="12">
        <v>46096</v>
      </c>
      <c r="H13" s="13">
        <v>4.3</v>
      </c>
      <c r="I13" s="13">
        <v>0.5</v>
      </c>
      <c r="J13" s="14">
        <v>9.9000000000000005E-2</v>
      </c>
      <c r="K13" s="13">
        <v>0.4</v>
      </c>
      <c r="L13" s="13">
        <v>0</v>
      </c>
      <c r="M13" s="15">
        <f t="shared" si="0"/>
        <v>0.8</v>
      </c>
      <c r="N13" s="13">
        <v>0.8</v>
      </c>
      <c r="O13" s="16">
        <v>2.86</v>
      </c>
      <c r="P13" s="16">
        <v>0.64</v>
      </c>
      <c r="Q13" s="17">
        <v>0.15</v>
      </c>
      <c r="R13" s="13">
        <v>3.3</v>
      </c>
      <c r="S13" s="18">
        <f t="shared" si="1"/>
        <v>22</v>
      </c>
      <c r="T13" s="19">
        <v>24</v>
      </c>
    </row>
    <row r="14" spans="1:20" ht="15" customHeight="1" x14ac:dyDescent="0.2">
      <c r="A14" s="2" t="s">
        <v>48</v>
      </c>
      <c r="B14" s="2" t="s">
        <v>40</v>
      </c>
      <c r="C14" s="2" t="s">
        <v>27</v>
      </c>
      <c r="D14" s="2" t="s">
        <v>38</v>
      </c>
      <c r="E14" s="2" t="s">
        <v>24</v>
      </c>
      <c r="F14" s="3">
        <v>44918</v>
      </c>
      <c r="G14" s="3">
        <v>45764</v>
      </c>
      <c r="H14" s="4">
        <v>516</v>
      </c>
      <c r="I14" s="4">
        <v>10.4</v>
      </c>
      <c r="J14" s="5">
        <v>2.5000000000000001E-2</v>
      </c>
      <c r="K14" s="4">
        <v>12.9</v>
      </c>
      <c r="L14" s="4">
        <v>0</v>
      </c>
      <c r="M14" s="6">
        <f t="shared" si="0"/>
        <v>1.2403846153846154</v>
      </c>
      <c r="N14" s="4">
        <v>75.3</v>
      </c>
      <c r="O14" s="7">
        <v>0.46</v>
      </c>
      <c r="P14" s="7">
        <v>0.64</v>
      </c>
      <c r="Q14" s="8">
        <v>2.09</v>
      </c>
      <c r="R14" s="4">
        <v>35</v>
      </c>
      <c r="S14" s="9">
        <f t="shared" si="1"/>
        <v>16.746411483253588</v>
      </c>
      <c r="T14" s="10">
        <v>222</v>
      </c>
    </row>
    <row r="15" spans="1:20" ht="15" customHeight="1" x14ac:dyDescent="0.2">
      <c r="A15" s="11" t="s">
        <v>49</v>
      </c>
      <c r="B15" s="11" t="s">
        <v>40</v>
      </c>
      <c r="C15" s="11" t="s">
        <v>27</v>
      </c>
      <c r="D15" s="11" t="s">
        <v>35</v>
      </c>
      <c r="E15" s="11" t="s">
        <v>24</v>
      </c>
      <c r="F15" s="12">
        <v>44962</v>
      </c>
      <c r="G15" s="12">
        <v>44962</v>
      </c>
      <c r="H15" s="13">
        <v>18.100000000000001</v>
      </c>
      <c r="I15" s="13">
        <v>0.8</v>
      </c>
      <c r="J15" s="14">
        <v>6.5000000000000002E-2</v>
      </c>
      <c r="K15" s="13">
        <v>1.2</v>
      </c>
      <c r="L15" s="13">
        <v>0</v>
      </c>
      <c r="M15" s="15">
        <f t="shared" si="0"/>
        <v>1.4999999999999998</v>
      </c>
      <c r="N15" s="13">
        <v>0.9</v>
      </c>
      <c r="O15" s="16">
        <v>1.25</v>
      </c>
      <c r="P15" s="16">
        <v>0.56999999999999995</v>
      </c>
      <c r="Q15" s="17">
        <v>0.28999999999999998</v>
      </c>
      <c r="R15" s="13">
        <v>4.3</v>
      </c>
      <c r="S15" s="18">
        <f t="shared" si="1"/>
        <v>14.827586206896552</v>
      </c>
      <c r="T15" s="19">
        <v>9</v>
      </c>
    </row>
    <row r="16" spans="1:20" ht="15" customHeight="1" x14ac:dyDescent="0.2">
      <c r="A16" s="2" t="s">
        <v>50</v>
      </c>
      <c r="B16" s="2" t="s">
        <v>51</v>
      </c>
      <c r="C16" s="2" t="s">
        <v>22</v>
      </c>
      <c r="D16" s="2" t="s">
        <v>52</v>
      </c>
      <c r="E16" s="2" t="s">
        <v>24</v>
      </c>
      <c r="F16" s="3">
        <v>43953</v>
      </c>
      <c r="G16" s="3">
        <v>44426</v>
      </c>
      <c r="H16" s="4">
        <v>1157.0999999999999</v>
      </c>
      <c r="I16" s="4">
        <v>8</v>
      </c>
      <c r="J16" s="5">
        <v>1.2E-2</v>
      </c>
      <c r="K16" s="4">
        <v>13.9</v>
      </c>
      <c r="L16" s="4">
        <v>0</v>
      </c>
      <c r="M16" s="6">
        <f t="shared" si="0"/>
        <v>1.7375</v>
      </c>
      <c r="N16" s="4">
        <v>121.2</v>
      </c>
      <c r="O16" s="7">
        <v>0.27</v>
      </c>
      <c r="P16" s="7">
        <v>0.46</v>
      </c>
      <c r="Q16" s="8">
        <v>2.79</v>
      </c>
      <c r="R16" s="4">
        <v>45</v>
      </c>
      <c r="S16" s="9">
        <f t="shared" si="1"/>
        <v>16.129032258064516</v>
      </c>
      <c r="T16" s="10">
        <v>525</v>
      </c>
    </row>
    <row r="17" spans="1:20" ht="15" customHeight="1" x14ac:dyDescent="0.2">
      <c r="A17" s="11" t="s">
        <v>53</v>
      </c>
      <c r="B17" s="11" t="s">
        <v>21</v>
      </c>
      <c r="C17" s="11" t="s">
        <v>22</v>
      </c>
      <c r="D17" s="11" t="s">
        <v>30</v>
      </c>
      <c r="E17" s="11" t="s">
        <v>24</v>
      </c>
      <c r="F17" s="12">
        <v>43895</v>
      </c>
      <c r="G17" s="12">
        <v>44477</v>
      </c>
      <c r="H17" s="13">
        <v>176.3</v>
      </c>
      <c r="I17" s="13">
        <v>4</v>
      </c>
      <c r="J17" s="14">
        <v>7.3999999999999996E-2</v>
      </c>
      <c r="K17" s="13">
        <v>13</v>
      </c>
      <c r="L17" s="13">
        <v>0</v>
      </c>
      <c r="M17" s="15">
        <f t="shared" si="0"/>
        <v>3.25</v>
      </c>
      <c r="N17" s="13">
        <v>25.5</v>
      </c>
      <c r="O17" s="16">
        <v>1.01</v>
      </c>
      <c r="P17" s="16">
        <v>0.45</v>
      </c>
      <c r="Q17" s="17">
        <v>1.51</v>
      </c>
      <c r="R17" s="13">
        <v>30.5</v>
      </c>
      <c r="S17" s="18">
        <f t="shared" si="1"/>
        <v>20.198675496688743</v>
      </c>
      <c r="T17" s="19">
        <v>201</v>
      </c>
    </row>
    <row r="18" spans="1:20" ht="15" customHeight="1" x14ac:dyDescent="0.2">
      <c r="A18" s="2" t="s">
        <v>54</v>
      </c>
      <c r="B18" s="2" t="s">
        <v>37</v>
      </c>
      <c r="C18" s="2" t="s">
        <v>27</v>
      </c>
      <c r="D18" s="2" t="s">
        <v>23</v>
      </c>
      <c r="E18" s="2" t="s">
        <v>24</v>
      </c>
      <c r="F18" s="3">
        <v>44973</v>
      </c>
      <c r="G18" s="3">
        <v>45239</v>
      </c>
      <c r="H18" s="4">
        <v>61.1</v>
      </c>
      <c r="I18" s="4">
        <v>6</v>
      </c>
      <c r="J18" s="5">
        <v>0.121</v>
      </c>
      <c r="K18" s="4">
        <v>7.4</v>
      </c>
      <c r="L18" s="4">
        <v>0</v>
      </c>
      <c r="M18" s="6">
        <f t="shared" si="0"/>
        <v>1.2333333333333334</v>
      </c>
      <c r="N18" s="4">
        <v>2.9</v>
      </c>
      <c r="O18" s="7">
        <v>1.26</v>
      </c>
      <c r="P18" s="7">
        <v>0.62</v>
      </c>
      <c r="Q18" s="8">
        <v>0.83</v>
      </c>
      <c r="R18" s="4">
        <v>12.3</v>
      </c>
      <c r="S18" s="9">
        <f t="shared" si="1"/>
        <v>14.819277108433736</v>
      </c>
      <c r="T18" s="10">
        <v>64</v>
      </c>
    </row>
    <row r="19" spans="1:20" ht="15" customHeight="1" x14ac:dyDescent="0.2">
      <c r="A19" s="11" t="s">
        <v>55</v>
      </c>
      <c r="B19" s="11" t="s">
        <v>29</v>
      </c>
      <c r="C19" s="11" t="s">
        <v>34</v>
      </c>
      <c r="D19" s="11" t="s">
        <v>35</v>
      </c>
      <c r="E19" s="11" t="s">
        <v>24</v>
      </c>
      <c r="F19" s="12">
        <v>45385</v>
      </c>
      <c r="G19" s="12">
        <v>45863</v>
      </c>
      <c r="H19" s="13">
        <v>23.9</v>
      </c>
      <c r="I19" s="13">
        <v>2.2000000000000002</v>
      </c>
      <c r="J19" s="14">
        <v>0.12</v>
      </c>
      <c r="K19" s="13">
        <v>2.9</v>
      </c>
      <c r="L19" s="13">
        <v>0</v>
      </c>
      <c r="M19" s="15">
        <f t="shared" si="0"/>
        <v>1.3181818181818181</v>
      </c>
      <c r="N19" s="13">
        <v>1.3</v>
      </c>
      <c r="O19" s="16">
        <v>2.44</v>
      </c>
      <c r="P19" s="16">
        <v>0.75</v>
      </c>
      <c r="Q19" s="17">
        <v>0.25</v>
      </c>
      <c r="R19" s="13">
        <v>4.0999999999999996</v>
      </c>
      <c r="S19" s="18">
        <f t="shared" si="1"/>
        <v>16.399999999999999</v>
      </c>
      <c r="T19" s="19">
        <v>17</v>
      </c>
    </row>
    <row r="20" spans="1:20" ht="15" customHeight="1" x14ac:dyDescent="0.2">
      <c r="A20" s="2" t="s">
        <v>56</v>
      </c>
      <c r="B20" s="2" t="s">
        <v>26</v>
      </c>
      <c r="C20" s="2" t="s">
        <v>27</v>
      </c>
      <c r="D20" s="2" t="s">
        <v>23</v>
      </c>
      <c r="E20" s="2" t="s">
        <v>24</v>
      </c>
      <c r="F20" s="3">
        <v>45096</v>
      </c>
      <c r="G20" s="3">
        <v>45985</v>
      </c>
      <c r="H20" s="4">
        <v>75.5</v>
      </c>
      <c r="I20" s="4">
        <v>5.0999999999999996</v>
      </c>
      <c r="J20" s="5">
        <v>0.11799999999999999</v>
      </c>
      <c r="K20" s="4">
        <v>8.9</v>
      </c>
      <c r="L20" s="4">
        <v>0</v>
      </c>
      <c r="M20" s="6">
        <f t="shared" si="0"/>
        <v>1.7450980392156865</v>
      </c>
      <c r="N20" s="4">
        <v>3.6</v>
      </c>
      <c r="O20" s="7">
        <v>1.07</v>
      </c>
      <c r="P20" s="7">
        <v>0.46</v>
      </c>
      <c r="Q20" s="8">
        <v>0.8</v>
      </c>
      <c r="R20" s="4">
        <v>19.100000000000001</v>
      </c>
      <c r="S20" s="9">
        <f t="shared" si="1"/>
        <v>23.875</v>
      </c>
      <c r="T20" s="10">
        <v>25</v>
      </c>
    </row>
    <row r="21" spans="1:20" ht="15" customHeight="1" x14ac:dyDescent="0.2">
      <c r="A21" s="11" t="s">
        <v>57</v>
      </c>
      <c r="B21" s="11" t="s">
        <v>44</v>
      </c>
      <c r="C21" s="11" t="s">
        <v>27</v>
      </c>
      <c r="D21" s="11" t="s">
        <v>35</v>
      </c>
      <c r="E21" s="11" t="s">
        <v>24</v>
      </c>
      <c r="F21" s="12">
        <v>44696</v>
      </c>
      <c r="G21" s="12">
        <v>44696</v>
      </c>
      <c r="H21" s="13">
        <v>23.9</v>
      </c>
      <c r="I21" s="13">
        <v>1</v>
      </c>
      <c r="J21" s="14">
        <v>8.3000000000000004E-2</v>
      </c>
      <c r="K21" s="13">
        <v>2</v>
      </c>
      <c r="L21" s="13">
        <v>0</v>
      </c>
      <c r="M21" s="15">
        <f t="shared" si="0"/>
        <v>2</v>
      </c>
      <c r="N21" s="13">
        <v>1.4</v>
      </c>
      <c r="O21" s="16">
        <v>-0.16</v>
      </c>
      <c r="P21" s="16">
        <v>0.68</v>
      </c>
      <c r="Q21" s="17">
        <v>0.28999999999999998</v>
      </c>
      <c r="R21" s="13">
        <v>9.6999999999999993</v>
      </c>
      <c r="S21" s="18">
        <f t="shared" si="1"/>
        <v>33.448275862068968</v>
      </c>
      <c r="T21" s="19">
        <v>7</v>
      </c>
    </row>
    <row r="22" spans="1:20" ht="15" customHeight="1" x14ac:dyDescent="0.2">
      <c r="A22" s="2" t="s">
        <v>58</v>
      </c>
      <c r="B22" s="2" t="s">
        <v>40</v>
      </c>
      <c r="C22" s="2" t="s">
        <v>27</v>
      </c>
      <c r="D22" s="2" t="s">
        <v>30</v>
      </c>
      <c r="E22" s="2" t="s">
        <v>24</v>
      </c>
      <c r="F22" s="3">
        <v>44499</v>
      </c>
      <c r="G22" s="3">
        <v>45208</v>
      </c>
      <c r="H22" s="4">
        <v>279.8</v>
      </c>
      <c r="I22" s="4">
        <v>10</v>
      </c>
      <c r="J22" s="5">
        <v>8.5999999999999993E-2</v>
      </c>
      <c r="K22" s="4">
        <v>24.1</v>
      </c>
      <c r="L22" s="4">
        <v>0</v>
      </c>
      <c r="M22" s="6">
        <f t="shared" si="0"/>
        <v>2.41</v>
      </c>
      <c r="N22" s="4">
        <v>31.7</v>
      </c>
      <c r="O22" s="7">
        <v>0.45</v>
      </c>
      <c r="P22" s="7">
        <v>0.59</v>
      </c>
      <c r="Q22" s="8">
        <v>1.36</v>
      </c>
      <c r="R22" s="4">
        <v>5.6</v>
      </c>
      <c r="S22" s="9">
        <f t="shared" si="1"/>
        <v>4.117647058823529</v>
      </c>
      <c r="T22" s="10">
        <v>174</v>
      </c>
    </row>
    <row r="23" spans="1:20" ht="15" customHeight="1" x14ac:dyDescent="0.2">
      <c r="A23" s="11" t="s">
        <v>59</v>
      </c>
      <c r="B23" s="11" t="s">
        <v>51</v>
      </c>
      <c r="C23" s="11" t="s">
        <v>22</v>
      </c>
      <c r="D23" s="11" t="s">
        <v>38</v>
      </c>
      <c r="E23" s="11" t="s">
        <v>24</v>
      </c>
      <c r="F23" s="12">
        <v>44315</v>
      </c>
      <c r="G23" s="12">
        <v>45782</v>
      </c>
      <c r="H23" s="13">
        <v>398.1</v>
      </c>
      <c r="I23" s="13">
        <v>6</v>
      </c>
      <c r="J23" s="14">
        <v>5.7000000000000002E-2</v>
      </c>
      <c r="K23" s="13">
        <v>22.7</v>
      </c>
      <c r="L23" s="13">
        <v>0</v>
      </c>
      <c r="M23" s="15">
        <f t="shared" si="0"/>
        <v>3.7833333333333332</v>
      </c>
      <c r="N23" s="13">
        <v>71.8</v>
      </c>
      <c r="O23" s="16">
        <v>0.28999999999999998</v>
      </c>
      <c r="P23" s="16">
        <v>0.37</v>
      </c>
      <c r="Q23" s="17">
        <v>0.88</v>
      </c>
      <c r="R23" s="13">
        <v>16.600000000000001</v>
      </c>
      <c r="S23" s="18">
        <f t="shared" si="1"/>
        <v>18.863636363636367</v>
      </c>
      <c r="T23" s="19">
        <v>343</v>
      </c>
    </row>
    <row r="24" spans="1:20" ht="15" customHeight="1" x14ac:dyDescent="0.2">
      <c r="A24" s="2" t="s">
        <v>60</v>
      </c>
      <c r="B24" s="2" t="s">
        <v>26</v>
      </c>
      <c r="C24" s="2" t="s">
        <v>22</v>
      </c>
      <c r="D24" s="2" t="s">
        <v>38</v>
      </c>
      <c r="E24" s="2" t="s">
        <v>24</v>
      </c>
      <c r="F24" s="3">
        <v>43791</v>
      </c>
      <c r="G24" s="3">
        <v>44980</v>
      </c>
      <c r="H24" s="4">
        <v>562.1</v>
      </c>
      <c r="I24" s="4">
        <v>6</v>
      </c>
      <c r="J24" s="5">
        <v>2.1999999999999999E-2</v>
      </c>
      <c r="K24" s="4">
        <v>12.4</v>
      </c>
      <c r="L24" s="4">
        <v>0</v>
      </c>
      <c r="M24" s="6">
        <f t="shared" si="0"/>
        <v>2.0666666666666669</v>
      </c>
      <c r="N24" s="4">
        <v>78.7</v>
      </c>
      <c r="O24" s="7">
        <v>0.75</v>
      </c>
      <c r="P24" s="7">
        <v>0.51</v>
      </c>
      <c r="Q24" s="8">
        <v>1.75</v>
      </c>
      <c r="R24" s="4">
        <v>29.7</v>
      </c>
      <c r="S24" s="9">
        <f t="shared" si="1"/>
        <v>16.971428571428572</v>
      </c>
      <c r="T24" s="10">
        <v>482</v>
      </c>
    </row>
    <row r="25" spans="1:20" ht="15" customHeight="1" x14ac:dyDescent="0.2">
      <c r="A25" s="11" t="s">
        <v>61</v>
      </c>
      <c r="B25" s="11" t="s">
        <v>37</v>
      </c>
      <c r="C25" s="11" t="s">
        <v>27</v>
      </c>
      <c r="D25" s="11" t="s">
        <v>30</v>
      </c>
      <c r="E25" s="11" t="s">
        <v>24</v>
      </c>
      <c r="F25" s="12">
        <v>44801</v>
      </c>
      <c r="G25" s="12">
        <v>45151</v>
      </c>
      <c r="H25" s="13">
        <v>97.6</v>
      </c>
      <c r="I25" s="13">
        <v>4</v>
      </c>
      <c r="J25" s="14">
        <v>6.3E-2</v>
      </c>
      <c r="K25" s="13">
        <v>6.1</v>
      </c>
      <c r="L25" s="13">
        <v>0</v>
      </c>
      <c r="M25" s="15">
        <f t="shared" si="0"/>
        <v>1.5249999999999999</v>
      </c>
      <c r="N25" s="13">
        <v>12.2</v>
      </c>
      <c r="O25" s="16">
        <v>1.08</v>
      </c>
      <c r="P25" s="16">
        <v>0.56000000000000005</v>
      </c>
      <c r="Q25" s="17">
        <v>0.78</v>
      </c>
      <c r="R25" s="13">
        <v>20.7</v>
      </c>
      <c r="S25" s="18">
        <f t="shared" si="1"/>
        <v>26.538461538461537</v>
      </c>
      <c r="T25" s="19">
        <v>196</v>
      </c>
    </row>
    <row r="26" spans="1:20" ht="15" customHeight="1" x14ac:dyDescent="0.2">
      <c r="A26" s="2" t="s">
        <v>62</v>
      </c>
      <c r="B26" s="2" t="s">
        <v>63</v>
      </c>
      <c r="C26" s="2" t="s">
        <v>34</v>
      </c>
      <c r="D26" s="2" t="s">
        <v>35</v>
      </c>
      <c r="E26" s="2" t="s">
        <v>24</v>
      </c>
      <c r="F26" s="3">
        <v>45466</v>
      </c>
      <c r="G26" s="3">
        <v>45466</v>
      </c>
      <c r="H26" s="4">
        <v>14.2</v>
      </c>
      <c r="I26" s="4">
        <v>1.2</v>
      </c>
      <c r="J26" s="5">
        <v>9.0999999999999998E-2</v>
      </c>
      <c r="K26" s="4">
        <v>1.3</v>
      </c>
      <c r="L26" s="4">
        <v>0</v>
      </c>
      <c r="M26" s="6">
        <f t="shared" si="0"/>
        <v>1.0833333333333335</v>
      </c>
      <c r="N26" s="4">
        <v>0.8</v>
      </c>
      <c r="O26" s="7">
        <v>1.49</v>
      </c>
      <c r="P26" s="7">
        <v>0.65</v>
      </c>
      <c r="Q26" s="8">
        <v>0.32</v>
      </c>
      <c r="R26" s="4">
        <v>5</v>
      </c>
      <c r="S26" s="9">
        <f t="shared" si="1"/>
        <v>15.625</v>
      </c>
      <c r="T26" s="10">
        <v>10</v>
      </c>
    </row>
    <row r="27" spans="1:20" ht="15" customHeight="1" x14ac:dyDescent="0.2">
      <c r="A27" s="11" t="s">
        <v>64</v>
      </c>
      <c r="B27" s="11" t="s">
        <v>44</v>
      </c>
      <c r="C27" s="11" t="s">
        <v>34</v>
      </c>
      <c r="D27" s="11" t="s">
        <v>35</v>
      </c>
      <c r="E27" s="11" t="s">
        <v>24</v>
      </c>
      <c r="F27" s="12">
        <v>45336</v>
      </c>
      <c r="G27" s="12">
        <v>45336</v>
      </c>
      <c r="H27" s="13">
        <v>9.3000000000000007</v>
      </c>
      <c r="I27" s="13">
        <v>2.5</v>
      </c>
      <c r="J27" s="14">
        <v>0.11600000000000001</v>
      </c>
      <c r="K27" s="13">
        <v>1.1000000000000001</v>
      </c>
      <c r="L27" s="13">
        <v>0</v>
      </c>
      <c r="M27" s="15">
        <f t="shared" si="0"/>
        <v>0.44000000000000006</v>
      </c>
      <c r="N27" s="13">
        <v>1.5</v>
      </c>
      <c r="O27" s="16">
        <v>1.02</v>
      </c>
      <c r="P27" s="16">
        <v>0.75</v>
      </c>
      <c r="Q27" s="17">
        <v>0.21</v>
      </c>
      <c r="R27" s="13">
        <v>6.9</v>
      </c>
      <c r="S27" s="18">
        <f t="shared" si="1"/>
        <v>32.857142857142861</v>
      </c>
      <c r="T27" s="19">
        <v>20</v>
      </c>
    </row>
    <row r="28" spans="1:20" ht="15" customHeight="1" x14ac:dyDescent="0.2">
      <c r="A28" s="2" t="s">
        <v>65</v>
      </c>
      <c r="B28" s="2" t="s">
        <v>29</v>
      </c>
      <c r="C28" s="2" t="s">
        <v>34</v>
      </c>
      <c r="D28" s="2" t="s">
        <v>35</v>
      </c>
      <c r="E28" s="2" t="s">
        <v>24</v>
      </c>
      <c r="F28" s="3">
        <v>45240</v>
      </c>
      <c r="G28" s="3">
        <v>45240</v>
      </c>
      <c r="H28" s="4">
        <v>21.2</v>
      </c>
      <c r="I28" s="4">
        <v>1.5</v>
      </c>
      <c r="J28" s="5">
        <v>6.4000000000000001E-2</v>
      </c>
      <c r="K28" s="4">
        <v>1.4</v>
      </c>
      <c r="L28" s="4">
        <v>0</v>
      </c>
      <c r="M28" s="6">
        <f t="shared" si="0"/>
        <v>0.93333333333333324</v>
      </c>
      <c r="N28" s="4">
        <v>0.7</v>
      </c>
      <c r="O28" s="7">
        <v>2.7</v>
      </c>
      <c r="P28" s="7">
        <v>0.81</v>
      </c>
      <c r="Q28" s="8">
        <v>0.3</v>
      </c>
      <c r="R28" s="4">
        <v>8.6999999999999993</v>
      </c>
      <c r="S28" s="9">
        <f t="shared" si="1"/>
        <v>29</v>
      </c>
      <c r="T28" s="10">
        <v>21</v>
      </c>
    </row>
    <row r="29" spans="1:20" ht="15" customHeight="1" x14ac:dyDescent="0.2">
      <c r="A29" s="11" t="s">
        <v>66</v>
      </c>
      <c r="B29" s="11" t="s">
        <v>40</v>
      </c>
      <c r="C29" s="11" t="s">
        <v>27</v>
      </c>
      <c r="D29" s="11" t="s">
        <v>30</v>
      </c>
      <c r="E29" s="11" t="s">
        <v>24</v>
      </c>
      <c r="F29" s="12">
        <v>44959</v>
      </c>
      <c r="G29" s="12">
        <v>45467</v>
      </c>
      <c r="H29" s="13">
        <v>246.7</v>
      </c>
      <c r="I29" s="13">
        <v>10</v>
      </c>
      <c r="J29" s="14">
        <v>7.4999999999999997E-2</v>
      </c>
      <c r="K29" s="13">
        <v>18.5</v>
      </c>
      <c r="L29" s="13">
        <v>0</v>
      </c>
      <c r="M29" s="15">
        <f t="shared" si="0"/>
        <v>1.85</v>
      </c>
      <c r="N29" s="13">
        <v>12</v>
      </c>
      <c r="O29" s="16">
        <v>-0.21</v>
      </c>
      <c r="P29" s="16">
        <v>0.59</v>
      </c>
      <c r="Q29" s="17">
        <v>1.88</v>
      </c>
      <c r="R29" s="13">
        <v>47.2</v>
      </c>
      <c r="S29" s="18">
        <f t="shared" si="1"/>
        <v>25.106382978723406</v>
      </c>
      <c r="T29" s="19">
        <v>195</v>
      </c>
    </row>
    <row r="30" spans="1:20" ht="15" customHeight="1" x14ac:dyDescent="0.2">
      <c r="A30" s="2" t="s">
        <v>67</v>
      </c>
      <c r="B30" s="2" t="s">
        <v>40</v>
      </c>
      <c r="C30" s="2" t="s">
        <v>27</v>
      </c>
      <c r="D30" s="2" t="s">
        <v>23</v>
      </c>
      <c r="E30" s="2" t="s">
        <v>24</v>
      </c>
      <c r="F30" s="3">
        <v>45176</v>
      </c>
      <c r="G30" s="3">
        <v>45648</v>
      </c>
      <c r="H30" s="4">
        <v>86.2</v>
      </c>
      <c r="I30" s="4">
        <v>4.0999999999999996</v>
      </c>
      <c r="J30" s="5">
        <v>7.1999999999999995E-2</v>
      </c>
      <c r="K30" s="4">
        <v>6.2</v>
      </c>
      <c r="L30" s="4">
        <v>0</v>
      </c>
      <c r="M30" s="6">
        <f t="shared" si="0"/>
        <v>1.5121951219512197</v>
      </c>
      <c r="N30" s="4">
        <v>1.6</v>
      </c>
      <c r="O30" s="7">
        <v>1.94</v>
      </c>
      <c r="P30" s="7">
        <v>0.68</v>
      </c>
      <c r="Q30" s="8">
        <v>0.77</v>
      </c>
      <c r="R30" s="4">
        <v>14.1</v>
      </c>
      <c r="S30" s="9">
        <f t="shared" si="1"/>
        <v>18.311688311688311</v>
      </c>
      <c r="T30" s="10">
        <v>49</v>
      </c>
    </row>
    <row r="31" spans="1:20" ht="15" customHeight="1" x14ac:dyDescent="0.2">
      <c r="A31" s="11" t="s">
        <v>68</v>
      </c>
      <c r="B31" s="11" t="s">
        <v>51</v>
      </c>
      <c r="C31" s="11" t="s">
        <v>22</v>
      </c>
      <c r="D31" s="11" t="s">
        <v>52</v>
      </c>
      <c r="E31" s="11" t="s">
        <v>24</v>
      </c>
      <c r="F31" s="12">
        <v>44208</v>
      </c>
      <c r="G31" s="12">
        <v>45236</v>
      </c>
      <c r="H31" s="13">
        <v>2362.6999999999998</v>
      </c>
      <c r="I31" s="13">
        <v>20</v>
      </c>
      <c r="J31" s="14">
        <v>3.4000000000000002E-2</v>
      </c>
      <c r="K31" s="13">
        <v>80.3</v>
      </c>
      <c r="L31" s="13">
        <v>0</v>
      </c>
      <c r="M31" s="15">
        <f t="shared" si="0"/>
        <v>4.0149999999999997</v>
      </c>
      <c r="N31" s="13">
        <v>148.9</v>
      </c>
      <c r="O31" s="16">
        <v>0.43</v>
      </c>
      <c r="P31" s="16">
        <v>0.46</v>
      </c>
      <c r="Q31" s="17">
        <v>1.51</v>
      </c>
      <c r="R31" s="13">
        <v>40.299999999999997</v>
      </c>
      <c r="S31" s="18">
        <f t="shared" si="1"/>
        <v>26.688741721854303</v>
      </c>
      <c r="T31" s="19">
        <v>1413</v>
      </c>
    </row>
    <row r="32" spans="1:20" ht="15" customHeight="1" x14ac:dyDescent="0.2">
      <c r="A32" s="2" t="s">
        <v>69</v>
      </c>
      <c r="B32" s="2" t="s">
        <v>44</v>
      </c>
      <c r="C32" s="2" t="s">
        <v>34</v>
      </c>
      <c r="D32" s="2" t="s">
        <v>23</v>
      </c>
      <c r="E32" s="2" t="s">
        <v>24</v>
      </c>
      <c r="F32" s="3">
        <v>45618</v>
      </c>
      <c r="G32" s="3">
        <v>45898</v>
      </c>
      <c r="H32" s="4">
        <v>14.2</v>
      </c>
      <c r="I32" s="4">
        <v>6</v>
      </c>
      <c r="J32" s="5">
        <v>0.122</v>
      </c>
      <c r="K32" s="4">
        <v>1.7</v>
      </c>
      <c r="L32" s="4">
        <v>0</v>
      </c>
      <c r="M32" s="6">
        <f t="shared" si="0"/>
        <v>0.28333333333333333</v>
      </c>
      <c r="N32" s="4">
        <v>6.1</v>
      </c>
      <c r="O32" s="7">
        <v>0.42</v>
      </c>
      <c r="P32" s="7">
        <v>0.84</v>
      </c>
      <c r="Q32" s="8">
        <v>0.55000000000000004</v>
      </c>
      <c r="R32" s="4">
        <v>11.6</v>
      </c>
      <c r="S32" s="9">
        <f t="shared" si="1"/>
        <v>21.09090909090909</v>
      </c>
      <c r="T32" s="10">
        <v>22</v>
      </c>
    </row>
    <row r="33" spans="1:20" ht="15" customHeight="1" x14ac:dyDescent="0.2">
      <c r="A33" s="11" t="s">
        <v>70</v>
      </c>
      <c r="B33" s="11" t="s">
        <v>71</v>
      </c>
      <c r="C33" s="11" t="s">
        <v>22</v>
      </c>
      <c r="D33" s="11" t="s">
        <v>30</v>
      </c>
      <c r="E33" s="11" t="s">
        <v>24</v>
      </c>
      <c r="F33" s="12">
        <v>44139</v>
      </c>
      <c r="G33" s="12">
        <v>45342</v>
      </c>
      <c r="H33" s="13">
        <v>258.10000000000002</v>
      </c>
      <c r="I33" s="13">
        <v>4</v>
      </c>
      <c r="J33" s="14">
        <v>0.04</v>
      </c>
      <c r="K33" s="13">
        <v>10.3</v>
      </c>
      <c r="L33" s="13">
        <v>0</v>
      </c>
      <c r="M33" s="15">
        <f t="shared" si="0"/>
        <v>2.5750000000000002</v>
      </c>
      <c r="N33" s="13">
        <v>21.4</v>
      </c>
      <c r="O33" s="16">
        <v>1.1399999999999999</v>
      </c>
      <c r="P33" s="16">
        <v>0.63</v>
      </c>
      <c r="Q33" s="17">
        <v>1.18</v>
      </c>
      <c r="R33" s="13">
        <v>30.5</v>
      </c>
      <c r="S33" s="18">
        <f t="shared" si="1"/>
        <v>25.847457627118647</v>
      </c>
      <c r="T33" s="19">
        <v>143</v>
      </c>
    </row>
    <row r="34" spans="1:20" ht="15" customHeight="1" x14ac:dyDescent="0.2">
      <c r="A34" s="2" t="s">
        <v>72</v>
      </c>
      <c r="B34" s="2" t="s">
        <v>26</v>
      </c>
      <c r="C34" s="2" t="s">
        <v>22</v>
      </c>
      <c r="D34" s="2" t="s">
        <v>38</v>
      </c>
      <c r="E34" s="2" t="s">
        <v>24</v>
      </c>
      <c r="F34" s="3">
        <v>43583</v>
      </c>
      <c r="G34" s="3">
        <v>45116</v>
      </c>
      <c r="H34" s="4">
        <v>326</v>
      </c>
      <c r="I34" s="4">
        <v>14</v>
      </c>
      <c r="J34" s="5">
        <v>4.3999999999999997E-2</v>
      </c>
      <c r="K34" s="4">
        <v>14.3</v>
      </c>
      <c r="L34" s="4">
        <v>0</v>
      </c>
      <c r="M34" s="6">
        <f t="shared" ref="M34:M65" si="2">(K34+L34)/I34</f>
        <v>1.0214285714285716</v>
      </c>
      <c r="N34" s="4">
        <v>39.1</v>
      </c>
      <c r="O34" s="7">
        <v>0.73</v>
      </c>
      <c r="P34" s="7">
        <v>0.5</v>
      </c>
      <c r="Q34" s="8">
        <v>1.89</v>
      </c>
      <c r="R34" s="4">
        <v>53.9</v>
      </c>
      <c r="S34" s="9">
        <f t="shared" ref="S34:S65" si="3">IF(AND(ISNUMBER(Q34),Q34&gt;0),R34/Q34,"-")</f>
        <v>28.518518518518519</v>
      </c>
      <c r="T34" s="10">
        <v>571</v>
      </c>
    </row>
    <row r="35" spans="1:20" ht="15" customHeight="1" x14ac:dyDescent="0.2">
      <c r="A35" s="11" t="s">
        <v>73</v>
      </c>
      <c r="B35" s="11" t="s">
        <v>40</v>
      </c>
      <c r="C35" s="11" t="s">
        <v>27</v>
      </c>
      <c r="D35" s="11" t="s">
        <v>38</v>
      </c>
      <c r="E35" s="11" t="s">
        <v>24</v>
      </c>
      <c r="F35" s="12">
        <v>44959</v>
      </c>
      <c r="G35" s="12">
        <v>45272</v>
      </c>
      <c r="H35" s="13">
        <v>780.4</v>
      </c>
      <c r="I35" s="13">
        <v>11.9</v>
      </c>
      <c r="J35" s="14">
        <v>3.9E-2</v>
      </c>
      <c r="K35" s="13">
        <v>30.4</v>
      </c>
      <c r="L35" s="13">
        <v>0</v>
      </c>
      <c r="M35" s="15">
        <f t="shared" si="2"/>
        <v>2.5546218487394956</v>
      </c>
      <c r="N35" s="13">
        <v>74.7</v>
      </c>
      <c r="O35" s="16">
        <v>0.62</v>
      </c>
      <c r="P35" s="16">
        <v>0.7</v>
      </c>
      <c r="Q35" s="17">
        <v>1.77</v>
      </c>
      <c r="R35" s="13">
        <v>43.1</v>
      </c>
      <c r="S35" s="18">
        <f t="shared" si="3"/>
        <v>24.350282485875706</v>
      </c>
      <c r="T35" s="19">
        <v>412</v>
      </c>
    </row>
    <row r="36" spans="1:20" ht="15" customHeight="1" x14ac:dyDescent="0.2">
      <c r="A36" s="2" t="s">
        <v>74</v>
      </c>
      <c r="B36" s="2" t="s">
        <v>40</v>
      </c>
      <c r="C36" s="2" t="s">
        <v>22</v>
      </c>
      <c r="D36" s="2" t="s">
        <v>30</v>
      </c>
      <c r="E36" s="2" t="s">
        <v>24</v>
      </c>
      <c r="F36" s="3">
        <v>43773</v>
      </c>
      <c r="G36" s="3">
        <v>44856</v>
      </c>
      <c r="H36" s="4">
        <v>261.2</v>
      </c>
      <c r="I36" s="4">
        <v>10</v>
      </c>
      <c r="J36" s="5">
        <v>5.6000000000000001E-2</v>
      </c>
      <c r="K36" s="4">
        <v>14.6</v>
      </c>
      <c r="L36" s="4">
        <v>0</v>
      </c>
      <c r="M36" s="6">
        <f t="shared" si="2"/>
        <v>1.46</v>
      </c>
      <c r="N36" s="4">
        <v>26.1</v>
      </c>
      <c r="O36" s="7">
        <v>0.78</v>
      </c>
      <c r="P36" s="7">
        <v>0.63</v>
      </c>
      <c r="Q36" s="8">
        <v>1.74</v>
      </c>
      <c r="R36" s="4">
        <v>35.5</v>
      </c>
      <c r="S36" s="9">
        <f t="shared" si="3"/>
        <v>20.402298850574713</v>
      </c>
      <c r="T36" s="10">
        <v>120</v>
      </c>
    </row>
    <row r="37" spans="1:20" ht="15" customHeight="1" x14ac:dyDescent="0.2">
      <c r="A37" s="11" t="s">
        <v>75</v>
      </c>
      <c r="B37" s="11" t="s">
        <v>33</v>
      </c>
      <c r="C37" s="11" t="s">
        <v>27</v>
      </c>
      <c r="D37" s="11" t="s">
        <v>30</v>
      </c>
      <c r="E37" s="11" t="s">
        <v>24</v>
      </c>
      <c r="F37" s="12">
        <v>45072</v>
      </c>
      <c r="G37" s="12">
        <v>45354</v>
      </c>
      <c r="H37" s="13">
        <v>192.9</v>
      </c>
      <c r="I37" s="13">
        <v>10</v>
      </c>
      <c r="J37" s="14">
        <v>7.3999999999999996E-2</v>
      </c>
      <c r="K37" s="13">
        <v>14.3</v>
      </c>
      <c r="L37" s="13">
        <v>0</v>
      </c>
      <c r="M37" s="15">
        <f t="shared" si="2"/>
        <v>1.4300000000000002</v>
      </c>
      <c r="N37" s="13">
        <v>28.6</v>
      </c>
      <c r="O37" s="16">
        <v>0.84</v>
      </c>
      <c r="P37" s="16">
        <v>0.74</v>
      </c>
      <c r="Q37" s="17">
        <v>1.5</v>
      </c>
      <c r="R37" s="13">
        <v>6.6</v>
      </c>
      <c r="S37" s="18">
        <f t="shared" si="3"/>
        <v>4.3999999999999995</v>
      </c>
      <c r="T37" s="19">
        <v>185</v>
      </c>
    </row>
    <row r="38" spans="1:20" ht="15" customHeight="1" x14ac:dyDescent="0.2">
      <c r="A38" s="2" t="s">
        <v>76</v>
      </c>
      <c r="B38" s="2" t="s">
        <v>26</v>
      </c>
      <c r="C38" s="2" t="s">
        <v>34</v>
      </c>
      <c r="D38" s="2" t="s">
        <v>35</v>
      </c>
      <c r="E38" s="2" t="s">
        <v>24</v>
      </c>
      <c r="F38" s="3">
        <v>45451</v>
      </c>
      <c r="G38" s="3">
        <v>45451</v>
      </c>
      <c r="H38" s="4">
        <v>12</v>
      </c>
      <c r="I38" s="4">
        <v>1.1000000000000001</v>
      </c>
      <c r="J38" s="5">
        <v>7.8E-2</v>
      </c>
      <c r="K38" s="4">
        <v>0.9</v>
      </c>
      <c r="L38" s="4">
        <v>0</v>
      </c>
      <c r="M38" s="6">
        <f t="shared" si="2"/>
        <v>0.81818181818181812</v>
      </c>
      <c r="N38" s="4">
        <v>0.6</v>
      </c>
      <c r="O38" s="7">
        <v>3</v>
      </c>
      <c r="P38" s="7">
        <v>0.54</v>
      </c>
      <c r="Q38" s="8">
        <v>0.2</v>
      </c>
      <c r="R38" s="4">
        <v>4.0999999999999996</v>
      </c>
      <c r="S38" s="9">
        <f t="shared" si="3"/>
        <v>20.499999999999996</v>
      </c>
      <c r="T38" s="10">
        <v>16</v>
      </c>
    </row>
    <row r="39" spans="1:20" ht="15" customHeight="1" x14ac:dyDescent="0.2">
      <c r="A39" s="11" t="s">
        <v>77</v>
      </c>
      <c r="B39" s="11" t="s">
        <v>78</v>
      </c>
      <c r="C39" s="11" t="s">
        <v>27</v>
      </c>
      <c r="D39" s="11" t="s">
        <v>23</v>
      </c>
      <c r="E39" s="11" t="s">
        <v>24</v>
      </c>
      <c r="F39" s="12">
        <v>44580</v>
      </c>
      <c r="G39" s="12">
        <v>45607</v>
      </c>
      <c r="H39" s="13">
        <v>86.9</v>
      </c>
      <c r="I39" s="13">
        <v>6</v>
      </c>
      <c r="J39" s="14">
        <v>0.13100000000000001</v>
      </c>
      <c r="K39" s="13">
        <v>11.4</v>
      </c>
      <c r="L39" s="13">
        <v>0</v>
      </c>
      <c r="M39" s="15">
        <f t="shared" si="2"/>
        <v>1.9000000000000001</v>
      </c>
      <c r="N39" s="13">
        <v>2.9</v>
      </c>
      <c r="O39" s="16">
        <v>1.82</v>
      </c>
      <c r="P39" s="16">
        <v>0.47</v>
      </c>
      <c r="Q39" s="17">
        <v>0.7</v>
      </c>
      <c r="R39" s="13">
        <v>4</v>
      </c>
      <c r="S39" s="18">
        <f t="shared" si="3"/>
        <v>5.7142857142857144</v>
      </c>
      <c r="T39" s="19">
        <v>31</v>
      </c>
    </row>
    <row r="40" spans="1:20" ht="15" customHeight="1" x14ac:dyDescent="0.2">
      <c r="A40" s="2" t="s">
        <v>79</v>
      </c>
      <c r="B40" s="2" t="s">
        <v>29</v>
      </c>
      <c r="C40" s="2" t="s">
        <v>27</v>
      </c>
      <c r="D40" s="2" t="s">
        <v>52</v>
      </c>
      <c r="E40" s="2" t="s">
        <v>24</v>
      </c>
      <c r="F40" s="3">
        <v>45090</v>
      </c>
      <c r="G40" s="3">
        <v>45497</v>
      </c>
      <c r="H40" s="4">
        <v>2012.1</v>
      </c>
      <c r="I40" s="4">
        <v>16</v>
      </c>
      <c r="J40" s="5">
        <v>1.4999999999999999E-2</v>
      </c>
      <c r="K40" s="4">
        <v>30.2</v>
      </c>
      <c r="L40" s="4">
        <v>0</v>
      </c>
      <c r="M40" s="6">
        <f t="shared" si="2"/>
        <v>1.8875</v>
      </c>
      <c r="N40" s="4">
        <v>227.3</v>
      </c>
      <c r="O40" s="7">
        <v>0.48</v>
      </c>
      <c r="P40" s="7">
        <v>0.76</v>
      </c>
      <c r="Q40" s="8">
        <v>3.46</v>
      </c>
      <c r="R40" s="4">
        <v>76.3</v>
      </c>
      <c r="S40" s="9">
        <f t="shared" si="3"/>
        <v>22.052023121387283</v>
      </c>
      <c r="T40" s="10">
        <v>906</v>
      </c>
    </row>
    <row r="41" spans="1:20" ht="15" customHeight="1" x14ac:dyDescent="0.2">
      <c r="A41" s="11" t="s">
        <v>80</v>
      </c>
      <c r="B41" s="11" t="s">
        <v>44</v>
      </c>
      <c r="C41" s="11" t="s">
        <v>27</v>
      </c>
      <c r="D41" s="11" t="s">
        <v>35</v>
      </c>
      <c r="E41" s="11" t="s">
        <v>24</v>
      </c>
      <c r="F41" s="12">
        <v>45055</v>
      </c>
      <c r="G41" s="12">
        <v>45055</v>
      </c>
      <c r="H41" s="13">
        <v>9.8000000000000007</v>
      </c>
      <c r="I41" s="13">
        <v>1.1000000000000001</v>
      </c>
      <c r="J41" s="14">
        <v>7.9000000000000001E-2</v>
      </c>
      <c r="K41" s="13">
        <v>0.8</v>
      </c>
      <c r="L41" s="13">
        <v>0</v>
      </c>
      <c r="M41" s="15">
        <f t="shared" si="2"/>
        <v>0.72727272727272729</v>
      </c>
      <c r="N41" s="13">
        <v>1.2</v>
      </c>
      <c r="O41" s="16">
        <v>0.64</v>
      </c>
      <c r="P41" s="16">
        <v>0.8</v>
      </c>
      <c r="Q41" s="17">
        <v>0.3</v>
      </c>
      <c r="R41" s="13">
        <v>6.6</v>
      </c>
      <c r="S41" s="18">
        <f t="shared" si="3"/>
        <v>22</v>
      </c>
      <c r="T41" s="19">
        <v>12</v>
      </c>
    </row>
    <row r="42" spans="1:20" ht="15" customHeight="1" x14ac:dyDescent="0.2">
      <c r="A42" s="2" t="s">
        <v>81</v>
      </c>
      <c r="B42" s="2" t="s">
        <v>63</v>
      </c>
      <c r="C42" s="2" t="s">
        <v>34</v>
      </c>
      <c r="D42" s="2" t="s">
        <v>23</v>
      </c>
      <c r="E42" s="2" t="s">
        <v>24</v>
      </c>
      <c r="F42" s="3">
        <v>45445</v>
      </c>
      <c r="G42" s="3">
        <v>45679</v>
      </c>
      <c r="H42" s="4">
        <v>71</v>
      </c>
      <c r="I42" s="4">
        <v>5.9</v>
      </c>
      <c r="J42" s="5">
        <v>0.08</v>
      </c>
      <c r="K42" s="4">
        <v>5.7</v>
      </c>
      <c r="L42" s="4">
        <v>0</v>
      </c>
      <c r="M42" s="6">
        <f t="shared" si="2"/>
        <v>0.96610169491525422</v>
      </c>
      <c r="N42" s="4">
        <v>3.6</v>
      </c>
      <c r="O42" s="7">
        <v>-0.08</v>
      </c>
      <c r="P42" s="7">
        <v>0.51</v>
      </c>
      <c r="Q42" s="8">
        <v>0.56000000000000005</v>
      </c>
      <c r="R42" s="4">
        <v>13.2</v>
      </c>
      <c r="S42" s="9">
        <f t="shared" si="3"/>
        <v>23.571428571428569</v>
      </c>
      <c r="T42" s="10">
        <v>64</v>
      </c>
    </row>
    <row r="43" spans="1:20" ht="15" customHeight="1" x14ac:dyDescent="0.2">
      <c r="A43" s="11" t="s">
        <v>82</v>
      </c>
      <c r="B43" s="11" t="s">
        <v>33</v>
      </c>
      <c r="C43" s="11" t="s">
        <v>27</v>
      </c>
      <c r="D43" s="11" t="s">
        <v>23</v>
      </c>
      <c r="E43" s="11" t="s">
        <v>24</v>
      </c>
      <c r="F43" s="12">
        <v>44896</v>
      </c>
      <c r="G43" s="12">
        <v>45278</v>
      </c>
      <c r="H43" s="13">
        <v>87.7</v>
      </c>
      <c r="I43" s="13">
        <v>6</v>
      </c>
      <c r="J43" s="14">
        <v>8.3000000000000004E-2</v>
      </c>
      <c r="K43" s="13">
        <v>7.3</v>
      </c>
      <c r="L43" s="13">
        <v>0</v>
      </c>
      <c r="M43" s="15">
        <f t="shared" si="2"/>
        <v>1.2166666666666666</v>
      </c>
      <c r="N43" s="13">
        <v>2.8</v>
      </c>
      <c r="O43" s="16">
        <v>0.51</v>
      </c>
      <c r="P43" s="16">
        <v>0.72</v>
      </c>
      <c r="Q43" s="17">
        <v>0.75</v>
      </c>
      <c r="R43" s="13">
        <v>20.8</v>
      </c>
      <c r="S43" s="18">
        <f t="shared" si="3"/>
        <v>27.733333333333334</v>
      </c>
      <c r="T43" s="19">
        <v>30</v>
      </c>
    </row>
    <row r="44" spans="1:20" ht="15" customHeight="1" x14ac:dyDescent="0.2">
      <c r="A44" s="2" t="s">
        <v>83</v>
      </c>
      <c r="B44" s="2" t="s">
        <v>40</v>
      </c>
      <c r="C44" s="2" t="s">
        <v>34</v>
      </c>
      <c r="D44" s="2" t="s">
        <v>35</v>
      </c>
      <c r="E44" s="2" t="s">
        <v>24</v>
      </c>
      <c r="F44" s="3">
        <v>46009</v>
      </c>
      <c r="G44" s="3">
        <v>46009</v>
      </c>
      <c r="H44" s="4">
        <v>15.1</v>
      </c>
      <c r="I44" s="4">
        <v>1.8</v>
      </c>
      <c r="J44" s="5">
        <v>0.106</v>
      </c>
      <c r="K44" s="4">
        <v>1.6</v>
      </c>
      <c r="L44" s="4">
        <v>0</v>
      </c>
      <c r="M44" s="6">
        <f t="shared" si="2"/>
        <v>0.88888888888888895</v>
      </c>
      <c r="N44" s="4">
        <v>1.4</v>
      </c>
      <c r="O44" s="7">
        <v>-0.32</v>
      </c>
      <c r="P44" s="7">
        <v>0.69</v>
      </c>
      <c r="Q44" s="8">
        <v>0.28999999999999998</v>
      </c>
      <c r="R44" s="4">
        <v>8.1999999999999993</v>
      </c>
      <c r="S44" s="9">
        <f t="shared" si="3"/>
        <v>28.275862068965516</v>
      </c>
      <c r="T44" s="10">
        <v>8</v>
      </c>
    </row>
    <row r="45" spans="1:20" ht="15" customHeight="1" x14ac:dyDescent="0.2">
      <c r="A45" s="11" t="s">
        <v>84</v>
      </c>
      <c r="B45" s="11" t="s">
        <v>85</v>
      </c>
      <c r="C45" s="11" t="s">
        <v>27</v>
      </c>
      <c r="D45" s="11" t="s">
        <v>23</v>
      </c>
      <c r="E45" s="11" t="s">
        <v>24</v>
      </c>
      <c r="F45" s="12">
        <v>44423</v>
      </c>
      <c r="G45" s="12">
        <v>45166</v>
      </c>
      <c r="H45" s="13">
        <v>22.8</v>
      </c>
      <c r="I45" s="13">
        <v>3.9</v>
      </c>
      <c r="J45" s="14">
        <v>9.5000000000000001E-2</v>
      </c>
      <c r="K45" s="13">
        <v>2.2000000000000002</v>
      </c>
      <c r="L45" s="13">
        <v>0</v>
      </c>
      <c r="M45" s="15">
        <f t="shared" si="2"/>
        <v>0.56410256410256421</v>
      </c>
      <c r="N45" s="13">
        <v>2</v>
      </c>
      <c r="O45" s="16">
        <v>1.1100000000000001</v>
      </c>
      <c r="P45" s="16">
        <v>0.39</v>
      </c>
      <c r="Q45" s="17">
        <v>0.34</v>
      </c>
      <c r="R45" s="13">
        <v>5.0999999999999996</v>
      </c>
      <c r="S45" s="18">
        <f t="shared" si="3"/>
        <v>14.999999999999998</v>
      </c>
      <c r="T45" s="19">
        <v>37</v>
      </c>
    </row>
    <row r="46" spans="1:20" ht="15" customHeight="1" x14ac:dyDescent="0.2">
      <c r="A46" s="2" t="s">
        <v>86</v>
      </c>
      <c r="B46" s="2" t="s">
        <v>37</v>
      </c>
      <c r="C46" s="2" t="s">
        <v>34</v>
      </c>
      <c r="D46" s="2" t="s">
        <v>23</v>
      </c>
      <c r="E46" s="2" t="s">
        <v>24</v>
      </c>
      <c r="F46" s="3">
        <v>45374</v>
      </c>
      <c r="G46" s="3">
        <v>46168</v>
      </c>
      <c r="H46" s="4">
        <v>87.7</v>
      </c>
      <c r="I46" s="4">
        <v>5.8</v>
      </c>
      <c r="J46" s="5">
        <v>6.2E-2</v>
      </c>
      <c r="K46" s="4">
        <v>5.4</v>
      </c>
      <c r="L46" s="4">
        <v>0</v>
      </c>
      <c r="M46" s="6">
        <f t="shared" si="2"/>
        <v>0.93103448275862077</v>
      </c>
      <c r="N46" s="4">
        <v>2.2000000000000002</v>
      </c>
      <c r="O46" s="7">
        <v>1.1599999999999999</v>
      </c>
      <c r="P46" s="7">
        <v>0.45</v>
      </c>
      <c r="Q46" s="8">
        <v>0.55000000000000004</v>
      </c>
      <c r="R46" s="4">
        <v>8.5</v>
      </c>
      <c r="S46" s="9">
        <f t="shared" si="3"/>
        <v>15.454545454545453</v>
      </c>
      <c r="T46" s="10">
        <v>34</v>
      </c>
    </row>
    <row r="47" spans="1:20" ht="15" customHeight="1" x14ac:dyDescent="0.2">
      <c r="A47" s="11" t="s">
        <v>87</v>
      </c>
      <c r="B47" s="11" t="s">
        <v>63</v>
      </c>
      <c r="C47" s="11" t="s">
        <v>34</v>
      </c>
      <c r="D47" s="11" t="s">
        <v>35</v>
      </c>
      <c r="E47" s="11" t="s">
        <v>24</v>
      </c>
      <c r="F47" s="12">
        <v>45224</v>
      </c>
      <c r="G47" s="12">
        <v>45634</v>
      </c>
      <c r="H47" s="13">
        <v>12</v>
      </c>
      <c r="I47" s="13">
        <v>1</v>
      </c>
      <c r="J47" s="14">
        <v>9.7000000000000003E-2</v>
      </c>
      <c r="K47" s="13">
        <v>1.2</v>
      </c>
      <c r="L47" s="13">
        <v>0</v>
      </c>
      <c r="M47" s="15">
        <f t="shared" si="2"/>
        <v>1.2</v>
      </c>
      <c r="N47" s="13">
        <v>0.6</v>
      </c>
      <c r="O47" s="16">
        <v>2.54</v>
      </c>
      <c r="P47" s="16">
        <v>0.49</v>
      </c>
      <c r="Q47" s="17">
        <v>0.33</v>
      </c>
      <c r="R47" s="13">
        <v>10.4</v>
      </c>
      <c r="S47" s="18">
        <f t="shared" si="3"/>
        <v>31.515151515151516</v>
      </c>
      <c r="T47" s="19">
        <v>16</v>
      </c>
    </row>
    <row r="48" spans="1:20" ht="15" customHeight="1" x14ac:dyDescent="0.2">
      <c r="A48" s="2" t="s">
        <v>88</v>
      </c>
      <c r="B48" s="2" t="s">
        <v>63</v>
      </c>
      <c r="C48" s="2" t="s">
        <v>34</v>
      </c>
      <c r="D48" s="2" t="s">
        <v>35</v>
      </c>
      <c r="E48" s="2" t="s">
        <v>24</v>
      </c>
      <c r="F48" s="3">
        <v>45870</v>
      </c>
      <c r="G48" s="3">
        <v>45870</v>
      </c>
      <c r="H48" s="4">
        <v>10.3</v>
      </c>
      <c r="I48" s="4">
        <v>1.8</v>
      </c>
      <c r="J48" s="5">
        <v>9.6000000000000002E-2</v>
      </c>
      <c r="K48" s="4">
        <v>1</v>
      </c>
      <c r="L48" s="4">
        <v>0</v>
      </c>
      <c r="M48" s="6">
        <f t="shared" si="2"/>
        <v>0.55555555555555558</v>
      </c>
      <c r="N48" s="4">
        <v>0.3</v>
      </c>
      <c r="O48" s="7">
        <v>2.88</v>
      </c>
      <c r="P48" s="7">
        <v>0.67</v>
      </c>
      <c r="Q48" s="8">
        <v>0.11</v>
      </c>
      <c r="R48" s="4">
        <v>2.1</v>
      </c>
      <c r="S48" s="9">
        <f t="shared" si="3"/>
        <v>19.09090909090909</v>
      </c>
      <c r="T48" s="10">
        <v>11</v>
      </c>
    </row>
    <row r="49" spans="1:20" ht="15" customHeight="1" x14ac:dyDescent="0.2">
      <c r="A49" s="11" t="s">
        <v>89</v>
      </c>
      <c r="B49" s="11" t="s">
        <v>29</v>
      </c>
      <c r="C49" s="11" t="s">
        <v>34</v>
      </c>
      <c r="D49" s="11" t="s">
        <v>23</v>
      </c>
      <c r="E49" s="11" t="s">
        <v>24</v>
      </c>
      <c r="F49" s="12">
        <v>45232</v>
      </c>
      <c r="G49" s="12">
        <v>46091</v>
      </c>
      <c r="H49" s="13">
        <v>84.9</v>
      </c>
      <c r="I49" s="13">
        <v>6</v>
      </c>
      <c r="J49" s="14">
        <v>0.13900000000000001</v>
      </c>
      <c r="K49" s="13">
        <v>11.8</v>
      </c>
      <c r="L49" s="13">
        <v>0</v>
      </c>
      <c r="M49" s="15">
        <f t="shared" si="2"/>
        <v>1.9666666666666668</v>
      </c>
      <c r="N49" s="13">
        <v>5.7</v>
      </c>
      <c r="O49" s="16">
        <v>-0.11</v>
      </c>
      <c r="P49" s="16">
        <v>0.78</v>
      </c>
      <c r="Q49" s="17">
        <v>0.87</v>
      </c>
      <c r="R49" s="13">
        <v>22.1</v>
      </c>
      <c r="S49" s="18">
        <f t="shared" si="3"/>
        <v>25.402298850574713</v>
      </c>
      <c r="T49" s="19">
        <v>61</v>
      </c>
    </row>
    <row r="50" spans="1:20" ht="15" customHeight="1" x14ac:dyDescent="0.2">
      <c r="A50" s="2" t="s">
        <v>90</v>
      </c>
      <c r="B50" s="2" t="s">
        <v>44</v>
      </c>
      <c r="C50" s="2" t="s">
        <v>22</v>
      </c>
      <c r="D50" s="2" t="s">
        <v>52</v>
      </c>
      <c r="E50" s="2" t="s">
        <v>24</v>
      </c>
      <c r="F50" s="3">
        <v>44179</v>
      </c>
      <c r="G50" s="3">
        <v>44991</v>
      </c>
      <c r="H50" s="4">
        <v>2055.3000000000002</v>
      </c>
      <c r="I50" s="4">
        <v>20</v>
      </c>
      <c r="J50" s="5">
        <v>0.01</v>
      </c>
      <c r="K50" s="4">
        <v>20.6</v>
      </c>
      <c r="L50" s="4">
        <v>0</v>
      </c>
      <c r="M50" s="6">
        <f t="shared" si="2"/>
        <v>1.03</v>
      </c>
      <c r="N50" s="4">
        <v>201.8</v>
      </c>
      <c r="O50" s="7">
        <v>0.32</v>
      </c>
      <c r="P50" s="7">
        <v>0.82</v>
      </c>
      <c r="Q50" s="8">
        <v>3.4</v>
      </c>
      <c r="R50" s="4">
        <v>66</v>
      </c>
      <c r="S50" s="9">
        <f t="shared" si="3"/>
        <v>19.411764705882355</v>
      </c>
      <c r="T50" s="10">
        <v>1186</v>
      </c>
    </row>
    <row r="51" spans="1:20" ht="15" customHeight="1" x14ac:dyDescent="0.2">
      <c r="A51" s="11" t="s">
        <v>91</v>
      </c>
      <c r="B51" s="11" t="s">
        <v>78</v>
      </c>
      <c r="C51" s="11" t="s">
        <v>27</v>
      </c>
      <c r="D51" s="11" t="s">
        <v>23</v>
      </c>
      <c r="E51" s="11" t="s">
        <v>24</v>
      </c>
      <c r="F51" s="12">
        <v>44441</v>
      </c>
      <c r="G51" s="12">
        <v>45294</v>
      </c>
      <c r="H51" s="13">
        <v>7.7</v>
      </c>
      <c r="I51" s="13">
        <v>2</v>
      </c>
      <c r="J51" s="14">
        <v>8.4000000000000005E-2</v>
      </c>
      <c r="K51" s="13">
        <v>0.6</v>
      </c>
      <c r="L51" s="13">
        <v>0</v>
      </c>
      <c r="M51" s="15">
        <f t="shared" si="2"/>
        <v>0.3</v>
      </c>
      <c r="N51" s="13">
        <v>7.5</v>
      </c>
      <c r="O51" s="16">
        <v>0.85</v>
      </c>
      <c r="P51" s="16">
        <v>0.56999999999999995</v>
      </c>
      <c r="Q51" s="17">
        <v>0.69</v>
      </c>
      <c r="R51" s="13">
        <v>21.3</v>
      </c>
      <c r="S51" s="18">
        <f t="shared" si="3"/>
        <v>30.869565217391308</v>
      </c>
      <c r="T51" s="19">
        <v>26</v>
      </c>
    </row>
    <row r="52" spans="1:20" ht="15" customHeight="1" x14ac:dyDescent="0.2">
      <c r="A52" s="2" t="s">
        <v>92</v>
      </c>
      <c r="B52" s="2" t="s">
        <v>63</v>
      </c>
      <c r="C52" s="2" t="s">
        <v>27</v>
      </c>
      <c r="D52" s="2" t="s">
        <v>23</v>
      </c>
      <c r="E52" s="2" t="s">
        <v>24</v>
      </c>
      <c r="F52" s="3">
        <v>44530</v>
      </c>
      <c r="G52" s="3">
        <v>45324</v>
      </c>
      <c r="H52" s="4">
        <v>30.2</v>
      </c>
      <c r="I52" s="4">
        <v>5.2</v>
      </c>
      <c r="J52" s="5">
        <v>0.123</v>
      </c>
      <c r="K52" s="4">
        <v>3.7</v>
      </c>
      <c r="L52" s="4">
        <v>0</v>
      </c>
      <c r="M52" s="6">
        <f t="shared" si="2"/>
        <v>0.71153846153846156</v>
      </c>
      <c r="N52" s="4">
        <v>2</v>
      </c>
      <c r="O52" s="7">
        <v>1.68</v>
      </c>
      <c r="P52" s="7">
        <v>0.62</v>
      </c>
      <c r="Q52" s="8">
        <v>0.39</v>
      </c>
      <c r="R52" s="4">
        <v>6.9</v>
      </c>
      <c r="S52" s="9">
        <f t="shared" si="3"/>
        <v>17.692307692307693</v>
      </c>
      <c r="T52" s="10">
        <v>57</v>
      </c>
    </row>
    <row r="53" spans="1:20" ht="15" customHeight="1" x14ac:dyDescent="0.2">
      <c r="A53" s="11" t="s">
        <v>93</v>
      </c>
      <c r="B53" s="11" t="s">
        <v>71</v>
      </c>
      <c r="C53" s="11" t="s">
        <v>27</v>
      </c>
      <c r="D53" s="11" t="s">
        <v>30</v>
      </c>
      <c r="E53" s="11" t="s">
        <v>24</v>
      </c>
      <c r="F53" s="12">
        <v>45150</v>
      </c>
      <c r="G53" s="12">
        <v>45995</v>
      </c>
      <c r="H53" s="13">
        <v>251.6</v>
      </c>
      <c r="I53" s="13">
        <v>5.6</v>
      </c>
      <c r="J53" s="14">
        <v>4.2000000000000003E-2</v>
      </c>
      <c r="K53" s="13">
        <v>10.6</v>
      </c>
      <c r="L53" s="13">
        <v>0</v>
      </c>
      <c r="M53" s="15">
        <f t="shared" si="2"/>
        <v>1.892857142857143</v>
      </c>
      <c r="N53" s="13">
        <v>10.8</v>
      </c>
      <c r="O53" s="16">
        <v>0.79</v>
      </c>
      <c r="P53" s="16">
        <v>0.63</v>
      </c>
      <c r="Q53" s="17">
        <v>1.33</v>
      </c>
      <c r="R53" s="13">
        <v>40.6</v>
      </c>
      <c r="S53" s="18">
        <f t="shared" si="3"/>
        <v>30.526315789473685</v>
      </c>
      <c r="T53" s="19">
        <v>102</v>
      </c>
    </row>
    <row r="54" spans="1:20" ht="15" customHeight="1" x14ac:dyDescent="0.2">
      <c r="A54" s="2" t="s">
        <v>94</v>
      </c>
      <c r="B54" s="2" t="s">
        <v>33</v>
      </c>
      <c r="C54" s="2" t="s">
        <v>22</v>
      </c>
      <c r="D54" s="2" t="s">
        <v>52</v>
      </c>
      <c r="E54" s="2" t="s">
        <v>24</v>
      </c>
      <c r="F54" s="3">
        <v>43954</v>
      </c>
      <c r="G54" s="3">
        <v>44327</v>
      </c>
      <c r="H54" s="4">
        <v>1494.5</v>
      </c>
      <c r="I54" s="4">
        <v>15.6</v>
      </c>
      <c r="J54" s="5">
        <v>2.9000000000000001E-2</v>
      </c>
      <c r="K54" s="4">
        <v>43.3</v>
      </c>
      <c r="L54" s="4">
        <v>0</v>
      </c>
      <c r="M54" s="6">
        <f t="shared" si="2"/>
        <v>2.7756410256410255</v>
      </c>
      <c r="N54" s="4">
        <v>129.4</v>
      </c>
      <c r="O54" s="7">
        <v>-0.2</v>
      </c>
      <c r="P54" s="7">
        <v>0.73</v>
      </c>
      <c r="Q54" s="8">
        <v>3.88</v>
      </c>
      <c r="R54" s="4">
        <v>71.599999999999994</v>
      </c>
      <c r="S54" s="9">
        <f t="shared" si="3"/>
        <v>18.453608247422679</v>
      </c>
      <c r="T54" s="10">
        <v>1432</v>
      </c>
    </row>
    <row r="55" spans="1:20" ht="15" customHeight="1" x14ac:dyDescent="0.2">
      <c r="A55" s="11" t="s">
        <v>95</v>
      </c>
      <c r="B55" s="11" t="s">
        <v>26</v>
      </c>
      <c r="C55" s="11" t="s">
        <v>22</v>
      </c>
      <c r="D55" s="11" t="s">
        <v>30</v>
      </c>
      <c r="E55" s="11" t="s">
        <v>24</v>
      </c>
      <c r="F55" s="12">
        <v>44171</v>
      </c>
      <c r="G55" s="12">
        <v>46089</v>
      </c>
      <c r="H55" s="13">
        <v>260.3</v>
      </c>
      <c r="I55" s="13">
        <v>4</v>
      </c>
      <c r="J55" s="14">
        <v>5.6000000000000001E-2</v>
      </c>
      <c r="K55" s="13">
        <v>14.6</v>
      </c>
      <c r="L55" s="13">
        <v>0</v>
      </c>
      <c r="M55" s="15">
        <f t="shared" si="2"/>
        <v>3.65</v>
      </c>
      <c r="N55" s="13">
        <v>24.8</v>
      </c>
      <c r="O55" s="16">
        <v>0.68</v>
      </c>
      <c r="P55" s="16">
        <v>0.46</v>
      </c>
      <c r="Q55" s="17">
        <v>1.94</v>
      </c>
      <c r="R55" s="13">
        <v>53.9</v>
      </c>
      <c r="S55" s="18">
        <f t="shared" si="3"/>
        <v>27.783505154639176</v>
      </c>
      <c r="T55" s="19">
        <v>161</v>
      </c>
    </row>
    <row r="56" spans="1:20" ht="15" customHeight="1" x14ac:dyDescent="0.2">
      <c r="A56" s="2" t="s">
        <v>96</v>
      </c>
      <c r="B56" s="2" t="s">
        <v>71</v>
      </c>
      <c r="C56" s="2" t="s">
        <v>27</v>
      </c>
      <c r="D56" s="2" t="s">
        <v>23</v>
      </c>
      <c r="E56" s="2" t="s">
        <v>24</v>
      </c>
      <c r="F56" s="3">
        <v>44566</v>
      </c>
      <c r="G56" s="3">
        <v>45060</v>
      </c>
      <c r="H56" s="4">
        <v>73.8</v>
      </c>
      <c r="I56" s="4">
        <v>5.6</v>
      </c>
      <c r="J56" s="5">
        <v>8.2000000000000003E-2</v>
      </c>
      <c r="K56" s="4">
        <v>6.1</v>
      </c>
      <c r="L56" s="4">
        <v>0</v>
      </c>
      <c r="M56" s="6">
        <f t="shared" si="2"/>
        <v>1.0892857142857142</v>
      </c>
      <c r="N56" s="4">
        <v>7</v>
      </c>
      <c r="O56" s="7">
        <v>1.1200000000000001</v>
      </c>
      <c r="P56" s="7">
        <v>0.68</v>
      </c>
      <c r="Q56" s="8">
        <v>0.45</v>
      </c>
      <c r="R56" s="4">
        <v>2.2999999999999998</v>
      </c>
      <c r="S56" s="9">
        <f t="shared" si="3"/>
        <v>5.1111111111111107</v>
      </c>
      <c r="T56" s="10">
        <v>61</v>
      </c>
    </row>
    <row r="57" spans="1:20" ht="15" customHeight="1" x14ac:dyDescent="0.2">
      <c r="A57" s="11" t="s">
        <v>97</v>
      </c>
      <c r="B57" s="11" t="s">
        <v>40</v>
      </c>
      <c r="C57" s="11" t="s">
        <v>27</v>
      </c>
      <c r="D57" s="11" t="s">
        <v>30</v>
      </c>
      <c r="E57" s="11" t="s">
        <v>24</v>
      </c>
      <c r="F57" s="12">
        <v>44558</v>
      </c>
      <c r="G57" s="12">
        <v>45633</v>
      </c>
      <c r="H57" s="13">
        <v>626.9</v>
      </c>
      <c r="I57" s="13">
        <v>5</v>
      </c>
      <c r="J57" s="14">
        <v>3.7999999999999999E-2</v>
      </c>
      <c r="K57" s="13">
        <v>23.8</v>
      </c>
      <c r="L57" s="13">
        <v>0</v>
      </c>
      <c r="M57" s="15">
        <f t="shared" si="2"/>
        <v>4.76</v>
      </c>
      <c r="N57" s="13">
        <v>13.1</v>
      </c>
      <c r="O57" s="16">
        <v>0.98</v>
      </c>
      <c r="P57" s="16">
        <v>0.76</v>
      </c>
      <c r="Q57" s="17">
        <v>0.91</v>
      </c>
      <c r="R57" s="13">
        <v>22.4</v>
      </c>
      <c r="S57" s="18">
        <f t="shared" si="3"/>
        <v>24.615384615384613</v>
      </c>
      <c r="T57" s="19">
        <v>103</v>
      </c>
    </row>
    <row r="58" spans="1:20" ht="15" customHeight="1" x14ac:dyDescent="0.2">
      <c r="A58" s="2" t="s">
        <v>98</v>
      </c>
      <c r="B58" s="2" t="s">
        <v>21</v>
      </c>
      <c r="C58" s="2" t="s">
        <v>22</v>
      </c>
      <c r="D58" s="2" t="s">
        <v>30</v>
      </c>
      <c r="E58" s="2" t="s">
        <v>24</v>
      </c>
      <c r="F58" s="3">
        <v>43995</v>
      </c>
      <c r="G58" s="3">
        <v>45213</v>
      </c>
      <c r="H58" s="4">
        <v>631.70000000000005</v>
      </c>
      <c r="I58" s="4">
        <v>4</v>
      </c>
      <c r="J58" s="5">
        <v>4.2000000000000003E-2</v>
      </c>
      <c r="K58" s="4">
        <v>26.5</v>
      </c>
      <c r="L58" s="4">
        <v>0</v>
      </c>
      <c r="M58" s="6">
        <f t="shared" si="2"/>
        <v>6.625</v>
      </c>
      <c r="N58" s="4">
        <v>19.399999999999999</v>
      </c>
      <c r="O58" s="7">
        <v>1.03</v>
      </c>
      <c r="P58" s="7">
        <v>0.22</v>
      </c>
      <c r="Q58" s="8">
        <v>1.39</v>
      </c>
      <c r="R58" s="4">
        <v>43.2</v>
      </c>
      <c r="S58" s="9">
        <f t="shared" si="3"/>
        <v>31.079136690647488</v>
      </c>
      <c r="T58" s="10">
        <v>212</v>
      </c>
    </row>
    <row r="59" spans="1:20" ht="15" customHeight="1" x14ac:dyDescent="0.2">
      <c r="A59" s="11" t="s">
        <v>99</v>
      </c>
      <c r="B59" s="11" t="s">
        <v>40</v>
      </c>
      <c r="C59" s="11" t="s">
        <v>34</v>
      </c>
      <c r="D59" s="11" t="s">
        <v>23</v>
      </c>
      <c r="E59" s="11" t="s">
        <v>24</v>
      </c>
      <c r="F59" s="12">
        <v>46070</v>
      </c>
      <c r="G59" s="12">
        <v>46070</v>
      </c>
      <c r="H59" s="13">
        <v>30.3</v>
      </c>
      <c r="I59" s="13">
        <v>2.1</v>
      </c>
      <c r="J59" s="14">
        <v>0.10199999999999999</v>
      </c>
      <c r="K59" s="13">
        <v>3.1</v>
      </c>
      <c r="L59" s="13">
        <v>0</v>
      </c>
      <c r="M59" s="15">
        <f t="shared" si="2"/>
        <v>1.4761904761904763</v>
      </c>
      <c r="N59" s="13">
        <v>6.3</v>
      </c>
      <c r="O59" s="16">
        <v>0.52</v>
      </c>
      <c r="P59" s="16">
        <v>0.61</v>
      </c>
      <c r="Q59" s="17">
        <v>0.78</v>
      </c>
      <c r="R59" s="13">
        <v>17.399999999999999</v>
      </c>
      <c r="S59" s="18">
        <f t="shared" si="3"/>
        <v>22.307692307692307</v>
      </c>
      <c r="T59" s="19">
        <v>68</v>
      </c>
    </row>
    <row r="60" spans="1:20" ht="15" customHeight="1" x14ac:dyDescent="0.2">
      <c r="A60" s="2" t="s">
        <v>100</v>
      </c>
      <c r="B60" s="2" t="s">
        <v>26</v>
      </c>
      <c r="C60" s="2" t="s">
        <v>34</v>
      </c>
      <c r="D60" s="2" t="s">
        <v>35</v>
      </c>
      <c r="E60" s="2" t="s">
        <v>46</v>
      </c>
      <c r="F60" s="3">
        <v>45654</v>
      </c>
      <c r="G60" s="3">
        <v>46195</v>
      </c>
      <c r="H60" s="4">
        <v>8.9</v>
      </c>
      <c r="I60" s="4">
        <v>0.7</v>
      </c>
      <c r="J60" s="5">
        <v>8.4000000000000005E-2</v>
      </c>
      <c r="K60" s="4">
        <v>0</v>
      </c>
      <c r="L60" s="4">
        <v>1.2</v>
      </c>
      <c r="M60" s="6">
        <f t="shared" si="2"/>
        <v>1.7142857142857144</v>
      </c>
      <c r="N60" s="20"/>
      <c r="O60" s="20"/>
      <c r="P60" s="20"/>
      <c r="Q60" s="20"/>
      <c r="R60" s="20"/>
      <c r="S60" s="9" t="str">
        <f t="shared" si="3"/>
        <v>-</v>
      </c>
      <c r="T60" s="20"/>
    </row>
    <row r="61" spans="1:20" ht="15" customHeight="1" x14ac:dyDescent="0.2">
      <c r="A61" s="11" t="s">
        <v>101</v>
      </c>
      <c r="B61" s="11" t="s">
        <v>29</v>
      </c>
      <c r="C61" s="11" t="s">
        <v>27</v>
      </c>
      <c r="D61" s="11" t="s">
        <v>23</v>
      </c>
      <c r="E61" s="11" t="s">
        <v>24</v>
      </c>
      <c r="F61" s="12">
        <v>45020</v>
      </c>
      <c r="G61" s="12">
        <v>45538</v>
      </c>
      <c r="H61" s="13">
        <v>24.7</v>
      </c>
      <c r="I61" s="13">
        <v>6</v>
      </c>
      <c r="J61" s="14">
        <v>0.12</v>
      </c>
      <c r="K61" s="13">
        <v>3</v>
      </c>
      <c r="L61" s="13">
        <v>0</v>
      </c>
      <c r="M61" s="15">
        <f t="shared" si="2"/>
        <v>0.5</v>
      </c>
      <c r="N61" s="13">
        <v>6.6</v>
      </c>
      <c r="O61" s="16">
        <v>1.28</v>
      </c>
      <c r="P61" s="16">
        <v>0.71</v>
      </c>
      <c r="Q61" s="17">
        <v>0.63</v>
      </c>
      <c r="R61" s="13">
        <v>14.3</v>
      </c>
      <c r="S61" s="18">
        <f t="shared" si="3"/>
        <v>22.698412698412699</v>
      </c>
      <c r="T61" s="19">
        <v>29</v>
      </c>
    </row>
    <row r="62" spans="1:20" ht="15" customHeight="1" x14ac:dyDescent="0.2">
      <c r="A62" s="2" t="s">
        <v>102</v>
      </c>
      <c r="B62" s="2" t="s">
        <v>85</v>
      </c>
      <c r="C62" s="2" t="s">
        <v>34</v>
      </c>
      <c r="D62" s="2" t="s">
        <v>23</v>
      </c>
      <c r="E62" s="2" t="s">
        <v>24</v>
      </c>
      <c r="F62" s="3">
        <v>45366</v>
      </c>
      <c r="G62" s="3">
        <v>45906</v>
      </c>
      <c r="H62" s="4">
        <v>79</v>
      </c>
      <c r="I62" s="4">
        <v>4.5999999999999996</v>
      </c>
      <c r="J62" s="5">
        <v>7.0999999999999994E-2</v>
      </c>
      <c r="K62" s="4">
        <v>5.6</v>
      </c>
      <c r="L62" s="4">
        <v>0</v>
      </c>
      <c r="M62" s="6">
        <f t="shared" si="2"/>
        <v>1.2173913043478262</v>
      </c>
      <c r="N62" s="4">
        <v>6.1</v>
      </c>
      <c r="O62" s="7">
        <v>1.04</v>
      </c>
      <c r="P62" s="7">
        <v>0.28999999999999998</v>
      </c>
      <c r="Q62" s="8">
        <v>0.49</v>
      </c>
      <c r="R62" s="4">
        <v>11.8</v>
      </c>
      <c r="S62" s="9">
        <f t="shared" si="3"/>
        <v>24.081632653061227</v>
      </c>
      <c r="T62" s="10">
        <v>50</v>
      </c>
    </row>
    <row r="63" spans="1:20" ht="15" customHeight="1" x14ac:dyDescent="0.2">
      <c r="A63" s="11" t="s">
        <v>103</v>
      </c>
      <c r="B63" s="11" t="s">
        <v>26</v>
      </c>
      <c r="C63" s="11" t="s">
        <v>27</v>
      </c>
      <c r="D63" s="11" t="s">
        <v>23</v>
      </c>
      <c r="E63" s="11" t="s">
        <v>24</v>
      </c>
      <c r="F63" s="12">
        <v>44713</v>
      </c>
      <c r="G63" s="12">
        <v>45799</v>
      </c>
      <c r="H63" s="13">
        <v>63.6</v>
      </c>
      <c r="I63" s="13">
        <v>2</v>
      </c>
      <c r="J63" s="14">
        <v>6.9000000000000006E-2</v>
      </c>
      <c r="K63" s="13">
        <v>4.4000000000000004</v>
      </c>
      <c r="L63" s="13">
        <v>0</v>
      </c>
      <c r="M63" s="15">
        <f t="shared" si="2"/>
        <v>2.2000000000000002</v>
      </c>
      <c r="N63" s="13">
        <v>7.5</v>
      </c>
      <c r="O63" s="16">
        <v>0.56000000000000005</v>
      </c>
      <c r="P63" s="16">
        <v>0.51</v>
      </c>
      <c r="Q63" s="17">
        <v>0.36</v>
      </c>
      <c r="R63" s="13">
        <v>11.1</v>
      </c>
      <c r="S63" s="18">
        <f t="shared" si="3"/>
        <v>30.833333333333332</v>
      </c>
      <c r="T63" s="19">
        <v>29</v>
      </c>
    </row>
    <row r="64" spans="1:20" ht="15" customHeight="1" x14ac:dyDescent="0.2">
      <c r="A64" s="2" t="s">
        <v>104</v>
      </c>
      <c r="B64" s="2" t="s">
        <v>71</v>
      </c>
      <c r="C64" s="2" t="s">
        <v>34</v>
      </c>
      <c r="D64" s="2" t="s">
        <v>35</v>
      </c>
      <c r="E64" s="2" t="s">
        <v>24</v>
      </c>
      <c r="F64" s="3">
        <v>46113</v>
      </c>
      <c r="G64" s="3">
        <v>46113</v>
      </c>
      <c r="H64" s="4">
        <v>15.3</v>
      </c>
      <c r="I64" s="4">
        <v>1.5</v>
      </c>
      <c r="J64" s="5">
        <v>7.1999999999999995E-2</v>
      </c>
      <c r="K64" s="4">
        <v>1.1000000000000001</v>
      </c>
      <c r="L64" s="4">
        <v>0</v>
      </c>
      <c r="M64" s="6">
        <f t="shared" si="2"/>
        <v>0.73333333333333339</v>
      </c>
      <c r="N64" s="4">
        <v>1.4</v>
      </c>
      <c r="O64" s="7">
        <v>0.68</v>
      </c>
      <c r="P64" s="7">
        <v>0.65</v>
      </c>
      <c r="Q64" s="8">
        <v>0.21</v>
      </c>
      <c r="R64" s="4">
        <v>5</v>
      </c>
      <c r="S64" s="9">
        <f t="shared" si="3"/>
        <v>23.80952380952381</v>
      </c>
      <c r="T64" s="10">
        <v>16</v>
      </c>
    </row>
    <row r="65" spans="1:20" ht="15" customHeight="1" x14ac:dyDescent="0.2">
      <c r="A65" s="11" t="s">
        <v>105</v>
      </c>
      <c r="B65" s="11" t="s">
        <v>21</v>
      </c>
      <c r="C65" s="11" t="s">
        <v>22</v>
      </c>
      <c r="D65" s="11" t="s">
        <v>30</v>
      </c>
      <c r="E65" s="11" t="s">
        <v>24</v>
      </c>
      <c r="F65" s="12">
        <v>44160</v>
      </c>
      <c r="G65" s="12">
        <v>45240</v>
      </c>
      <c r="H65" s="13">
        <v>122.5</v>
      </c>
      <c r="I65" s="13">
        <v>4</v>
      </c>
      <c r="J65" s="14">
        <v>5.3999999999999999E-2</v>
      </c>
      <c r="K65" s="13">
        <v>6.6</v>
      </c>
      <c r="L65" s="13">
        <v>0</v>
      </c>
      <c r="M65" s="15">
        <f t="shared" si="2"/>
        <v>1.65</v>
      </c>
      <c r="N65" s="13">
        <v>26</v>
      </c>
      <c r="O65" s="16">
        <v>-0.05</v>
      </c>
      <c r="P65" s="16">
        <v>0.44</v>
      </c>
      <c r="Q65" s="17">
        <v>0.97</v>
      </c>
      <c r="R65" s="13">
        <v>28.2</v>
      </c>
      <c r="S65" s="18">
        <f t="shared" si="3"/>
        <v>29.072164948453608</v>
      </c>
      <c r="T65" s="19">
        <v>130</v>
      </c>
    </row>
    <row r="66" spans="1:20" ht="15" customHeight="1" x14ac:dyDescent="0.2">
      <c r="A66" s="2" t="s">
        <v>106</v>
      </c>
      <c r="B66" s="2" t="s">
        <v>85</v>
      </c>
      <c r="C66" s="2" t="s">
        <v>27</v>
      </c>
      <c r="D66" s="2" t="s">
        <v>38</v>
      </c>
      <c r="E66" s="2" t="s">
        <v>24</v>
      </c>
      <c r="F66" s="3">
        <v>44583</v>
      </c>
      <c r="G66" s="3">
        <v>44801</v>
      </c>
      <c r="H66" s="4">
        <v>820.2</v>
      </c>
      <c r="I66" s="4">
        <v>15</v>
      </c>
      <c r="J66" s="5">
        <v>2.5999999999999999E-2</v>
      </c>
      <c r="K66" s="4">
        <v>21.3</v>
      </c>
      <c r="L66" s="4">
        <v>0</v>
      </c>
      <c r="M66" s="6">
        <f t="shared" ref="M66:M97" si="4">(K66+L66)/I66</f>
        <v>1.4200000000000002</v>
      </c>
      <c r="N66" s="4">
        <v>65.7</v>
      </c>
      <c r="O66" s="7">
        <v>0.53</v>
      </c>
      <c r="P66" s="7">
        <v>0.26</v>
      </c>
      <c r="Q66" s="8">
        <v>1.1299999999999999</v>
      </c>
      <c r="R66" s="4">
        <v>20.7</v>
      </c>
      <c r="S66" s="9">
        <f t="shared" ref="S66:S97" si="5">IF(AND(ISNUMBER(Q66),Q66&gt;0),R66/Q66,"-")</f>
        <v>18.318584070796462</v>
      </c>
      <c r="T66" s="10">
        <v>587</v>
      </c>
    </row>
    <row r="67" spans="1:20" ht="15" customHeight="1" x14ac:dyDescent="0.2">
      <c r="A67" s="11" t="s">
        <v>107</v>
      </c>
      <c r="B67" s="11" t="s">
        <v>71</v>
      </c>
      <c r="C67" s="11" t="s">
        <v>22</v>
      </c>
      <c r="D67" s="11" t="s">
        <v>30</v>
      </c>
      <c r="E67" s="11" t="s">
        <v>24</v>
      </c>
      <c r="F67" s="12">
        <v>43569</v>
      </c>
      <c r="G67" s="12">
        <v>45857</v>
      </c>
      <c r="H67" s="13">
        <v>119.9</v>
      </c>
      <c r="I67" s="13">
        <v>4</v>
      </c>
      <c r="J67" s="14">
        <v>6.0999999999999999E-2</v>
      </c>
      <c r="K67" s="13">
        <v>7.3</v>
      </c>
      <c r="L67" s="13">
        <v>0</v>
      </c>
      <c r="M67" s="15">
        <f t="shared" si="4"/>
        <v>1.825</v>
      </c>
      <c r="N67" s="13">
        <v>22.1</v>
      </c>
      <c r="O67" s="16">
        <v>0.59</v>
      </c>
      <c r="P67" s="16">
        <v>0.63</v>
      </c>
      <c r="Q67" s="17">
        <v>1</v>
      </c>
      <c r="R67" s="13">
        <v>3.5</v>
      </c>
      <c r="S67" s="18">
        <f t="shared" si="5"/>
        <v>3.5</v>
      </c>
      <c r="T67" s="19">
        <v>94</v>
      </c>
    </row>
    <row r="68" spans="1:20" ht="15" customHeight="1" x14ac:dyDescent="0.2">
      <c r="A68" s="2" t="s">
        <v>108</v>
      </c>
      <c r="B68" s="2" t="s">
        <v>78</v>
      </c>
      <c r="C68" s="2" t="s">
        <v>34</v>
      </c>
      <c r="D68" s="2" t="s">
        <v>23</v>
      </c>
      <c r="E68" s="2" t="s">
        <v>24</v>
      </c>
      <c r="F68" s="3">
        <v>45975</v>
      </c>
      <c r="G68" s="3">
        <v>46182</v>
      </c>
      <c r="H68" s="4">
        <v>54.3</v>
      </c>
      <c r="I68" s="4">
        <v>6</v>
      </c>
      <c r="J68" s="5">
        <v>0.12</v>
      </c>
      <c r="K68" s="4">
        <v>6.5</v>
      </c>
      <c r="L68" s="4">
        <v>0</v>
      </c>
      <c r="M68" s="6">
        <f t="shared" si="4"/>
        <v>1.0833333333333333</v>
      </c>
      <c r="N68" s="4">
        <v>7.2</v>
      </c>
      <c r="O68" s="7">
        <v>1.87</v>
      </c>
      <c r="P68" s="7">
        <v>0.43</v>
      </c>
      <c r="Q68" s="8">
        <v>0.73</v>
      </c>
      <c r="R68" s="4">
        <v>12.8</v>
      </c>
      <c r="S68" s="9">
        <f t="shared" si="5"/>
        <v>17.534246575342468</v>
      </c>
      <c r="T68" s="10">
        <v>42</v>
      </c>
    </row>
    <row r="69" spans="1:20" ht="15" customHeight="1" x14ac:dyDescent="0.2">
      <c r="A69" s="11" t="s">
        <v>109</v>
      </c>
      <c r="B69" s="11" t="s">
        <v>21</v>
      </c>
      <c r="C69" s="11" t="s">
        <v>34</v>
      </c>
      <c r="D69" s="11" t="s">
        <v>23</v>
      </c>
      <c r="E69" s="11" t="s">
        <v>24</v>
      </c>
      <c r="F69" s="12">
        <v>45340</v>
      </c>
      <c r="G69" s="12">
        <v>46184</v>
      </c>
      <c r="H69" s="13">
        <v>66.099999999999994</v>
      </c>
      <c r="I69" s="13">
        <v>6</v>
      </c>
      <c r="J69" s="14">
        <v>0.13500000000000001</v>
      </c>
      <c r="K69" s="13">
        <v>8.9</v>
      </c>
      <c r="L69" s="13">
        <v>0</v>
      </c>
      <c r="M69" s="15">
        <f t="shared" si="4"/>
        <v>1.4833333333333334</v>
      </c>
      <c r="N69" s="13">
        <v>6</v>
      </c>
      <c r="O69" s="16">
        <v>1.1599999999999999</v>
      </c>
      <c r="P69" s="16">
        <v>0.24</v>
      </c>
      <c r="Q69" s="17">
        <v>0.88</v>
      </c>
      <c r="R69" s="13">
        <v>24.1</v>
      </c>
      <c r="S69" s="18">
        <f t="shared" si="5"/>
        <v>27.386363636363637</v>
      </c>
      <c r="T69" s="19">
        <v>41</v>
      </c>
    </row>
    <row r="70" spans="1:20" ht="15" customHeight="1" x14ac:dyDescent="0.2">
      <c r="A70" s="2" t="s">
        <v>110</v>
      </c>
      <c r="B70" s="2" t="s">
        <v>29</v>
      </c>
      <c r="C70" s="2" t="s">
        <v>27</v>
      </c>
      <c r="D70" s="2" t="s">
        <v>30</v>
      </c>
      <c r="E70" s="2" t="s">
        <v>24</v>
      </c>
      <c r="F70" s="3">
        <v>44551</v>
      </c>
      <c r="G70" s="3">
        <v>44938</v>
      </c>
      <c r="H70" s="4">
        <v>298.3</v>
      </c>
      <c r="I70" s="4">
        <v>10</v>
      </c>
      <c r="J70" s="5">
        <v>4.1000000000000002E-2</v>
      </c>
      <c r="K70" s="4">
        <v>12.2</v>
      </c>
      <c r="L70" s="4">
        <v>0</v>
      </c>
      <c r="M70" s="6">
        <f t="shared" si="4"/>
        <v>1.22</v>
      </c>
      <c r="N70" s="4">
        <v>16</v>
      </c>
      <c r="O70" s="7">
        <v>1.1499999999999999</v>
      </c>
      <c r="P70" s="7">
        <v>0.69</v>
      </c>
      <c r="Q70" s="8">
        <v>1.88</v>
      </c>
      <c r="R70" s="4">
        <v>47.8</v>
      </c>
      <c r="S70" s="9">
        <f t="shared" si="5"/>
        <v>25.425531914893618</v>
      </c>
      <c r="T70" s="10">
        <v>199</v>
      </c>
    </row>
    <row r="71" spans="1:20" ht="15" customHeight="1" x14ac:dyDescent="0.2">
      <c r="A71" s="11" t="s">
        <v>111</v>
      </c>
      <c r="B71" s="11" t="s">
        <v>71</v>
      </c>
      <c r="C71" s="11" t="s">
        <v>34</v>
      </c>
      <c r="D71" s="11" t="s">
        <v>35</v>
      </c>
      <c r="E71" s="11" t="s">
        <v>24</v>
      </c>
      <c r="F71" s="12">
        <v>45267</v>
      </c>
      <c r="G71" s="12">
        <v>45267</v>
      </c>
      <c r="H71" s="13">
        <v>18.100000000000001</v>
      </c>
      <c r="I71" s="13">
        <v>1.4</v>
      </c>
      <c r="J71" s="14">
        <v>9.4E-2</v>
      </c>
      <c r="K71" s="13">
        <v>1.7</v>
      </c>
      <c r="L71" s="13">
        <v>0</v>
      </c>
      <c r="M71" s="15">
        <f t="shared" si="4"/>
        <v>1.2142857142857144</v>
      </c>
      <c r="N71" s="13">
        <v>1</v>
      </c>
      <c r="O71" s="16">
        <v>2.99</v>
      </c>
      <c r="P71" s="16">
        <v>0.65</v>
      </c>
      <c r="Q71" s="17">
        <v>0.3</v>
      </c>
      <c r="R71" s="13">
        <v>1.4</v>
      </c>
      <c r="S71" s="18">
        <f t="shared" si="5"/>
        <v>4.666666666666667</v>
      </c>
      <c r="T71" s="19">
        <v>18</v>
      </c>
    </row>
    <row r="72" spans="1:20" ht="15" customHeight="1" x14ac:dyDescent="0.2">
      <c r="A72" s="2" t="s">
        <v>112</v>
      </c>
      <c r="B72" s="2" t="s">
        <v>63</v>
      </c>
      <c r="C72" s="2" t="s">
        <v>34</v>
      </c>
      <c r="D72" s="2" t="s">
        <v>35</v>
      </c>
      <c r="E72" s="2" t="s">
        <v>24</v>
      </c>
      <c r="F72" s="3">
        <v>45986</v>
      </c>
      <c r="G72" s="3">
        <v>46187</v>
      </c>
      <c r="H72" s="4">
        <v>13.9</v>
      </c>
      <c r="I72" s="4">
        <v>1.4</v>
      </c>
      <c r="J72" s="5">
        <v>8.6999999999999994E-2</v>
      </c>
      <c r="K72" s="4">
        <v>1.2</v>
      </c>
      <c r="L72" s="4">
        <v>0</v>
      </c>
      <c r="M72" s="6">
        <f t="shared" si="4"/>
        <v>0.85714285714285721</v>
      </c>
      <c r="N72" s="4">
        <v>1.4</v>
      </c>
      <c r="O72" s="7">
        <v>1.43</v>
      </c>
      <c r="P72" s="7">
        <v>0.69</v>
      </c>
      <c r="Q72" s="8">
        <v>0.19</v>
      </c>
      <c r="R72" s="4">
        <v>3.8</v>
      </c>
      <c r="S72" s="9">
        <f t="shared" si="5"/>
        <v>20</v>
      </c>
      <c r="T72" s="10">
        <v>24</v>
      </c>
    </row>
    <row r="73" spans="1:20" ht="15" customHeight="1" x14ac:dyDescent="0.2">
      <c r="A73" s="11" t="s">
        <v>113</v>
      </c>
      <c r="B73" s="11" t="s">
        <v>40</v>
      </c>
      <c r="C73" s="11" t="s">
        <v>34</v>
      </c>
      <c r="D73" s="11" t="s">
        <v>35</v>
      </c>
      <c r="E73" s="11" t="s">
        <v>24</v>
      </c>
      <c r="F73" s="12">
        <v>45418</v>
      </c>
      <c r="G73" s="12">
        <v>45418</v>
      </c>
      <c r="H73" s="13">
        <v>17.899999999999999</v>
      </c>
      <c r="I73" s="13">
        <v>1.3</v>
      </c>
      <c r="J73" s="14">
        <v>8.3000000000000004E-2</v>
      </c>
      <c r="K73" s="13">
        <v>1.5</v>
      </c>
      <c r="L73" s="13">
        <v>0</v>
      </c>
      <c r="M73" s="15">
        <f t="shared" si="4"/>
        <v>1.1538461538461537</v>
      </c>
      <c r="N73" s="13">
        <v>0.2</v>
      </c>
      <c r="O73" s="16">
        <v>0.65</v>
      </c>
      <c r="P73" s="16">
        <v>0.72</v>
      </c>
      <c r="Q73" s="17">
        <v>0.23</v>
      </c>
      <c r="R73" s="13">
        <v>6.2</v>
      </c>
      <c r="S73" s="18">
        <f t="shared" si="5"/>
        <v>26.956521739130434</v>
      </c>
      <c r="T73" s="19">
        <v>20</v>
      </c>
    </row>
    <row r="74" spans="1:20" ht="15" customHeight="1" x14ac:dyDescent="0.2">
      <c r="A74" s="2" t="s">
        <v>114</v>
      </c>
      <c r="B74" s="2" t="s">
        <v>40</v>
      </c>
      <c r="C74" s="2" t="s">
        <v>22</v>
      </c>
      <c r="D74" s="2" t="s">
        <v>52</v>
      </c>
      <c r="E74" s="2" t="s">
        <v>24</v>
      </c>
      <c r="F74" s="3">
        <v>43844</v>
      </c>
      <c r="G74" s="3">
        <v>45777</v>
      </c>
      <c r="H74" s="4">
        <v>1390.7</v>
      </c>
      <c r="I74" s="4">
        <v>13.5</v>
      </c>
      <c r="J74" s="5">
        <v>1.6E-2</v>
      </c>
      <c r="K74" s="4">
        <v>22.3</v>
      </c>
      <c r="L74" s="4">
        <v>0</v>
      </c>
      <c r="M74" s="6">
        <f t="shared" si="4"/>
        <v>1.6518518518518519</v>
      </c>
      <c r="N74" s="4">
        <v>127.7</v>
      </c>
      <c r="O74" s="7">
        <v>0.45</v>
      </c>
      <c r="P74" s="7">
        <v>0.64</v>
      </c>
      <c r="Q74" s="8">
        <v>1.45</v>
      </c>
      <c r="R74" s="4">
        <v>37.799999999999997</v>
      </c>
      <c r="S74" s="9">
        <f t="shared" si="5"/>
        <v>26.068965517241377</v>
      </c>
      <c r="T74" s="10">
        <v>1517</v>
      </c>
    </row>
    <row r="75" spans="1:20" ht="15" customHeight="1" x14ac:dyDescent="0.2">
      <c r="A75" s="11" t="s">
        <v>115</v>
      </c>
      <c r="B75" s="11" t="s">
        <v>33</v>
      </c>
      <c r="C75" s="11" t="s">
        <v>34</v>
      </c>
      <c r="D75" s="11" t="s">
        <v>23</v>
      </c>
      <c r="E75" s="11" t="s">
        <v>24</v>
      </c>
      <c r="F75" s="12">
        <v>45387</v>
      </c>
      <c r="G75" s="12">
        <v>45744</v>
      </c>
      <c r="H75" s="13">
        <v>38.700000000000003</v>
      </c>
      <c r="I75" s="13">
        <v>6</v>
      </c>
      <c r="J75" s="14">
        <v>0.121</v>
      </c>
      <c r="K75" s="13">
        <v>4.7</v>
      </c>
      <c r="L75" s="13">
        <v>0</v>
      </c>
      <c r="M75" s="15">
        <f t="shared" si="4"/>
        <v>0.78333333333333333</v>
      </c>
      <c r="N75" s="13">
        <v>5.5</v>
      </c>
      <c r="O75" s="16">
        <v>0.45</v>
      </c>
      <c r="P75" s="16">
        <v>0.72</v>
      </c>
      <c r="Q75" s="17">
        <v>0.63</v>
      </c>
      <c r="R75" s="13">
        <v>11</v>
      </c>
      <c r="S75" s="18">
        <f t="shared" si="5"/>
        <v>17.460317460317459</v>
      </c>
      <c r="T75" s="19">
        <v>25</v>
      </c>
    </row>
    <row r="76" spans="1:20" ht="15" customHeight="1" x14ac:dyDescent="0.2">
      <c r="A76" s="2" t="s">
        <v>116</v>
      </c>
      <c r="B76" s="2" t="s">
        <v>33</v>
      </c>
      <c r="C76" s="2" t="s">
        <v>22</v>
      </c>
      <c r="D76" s="2" t="s">
        <v>52</v>
      </c>
      <c r="E76" s="2" t="s">
        <v>24</v>
      </c>
      <c r="F76" s="3">
        <v>44090</v>
      </c>
      <c r="G76" s="3">
        <v>44956</v>
      </c>
      <c r="H76" s="4">
        <v>2282.4</v>
      </c>
      <c r="I76" s="4">
        <v>20</v>
      </c>
      <c r="J76" s="5">
        <v>2.5000000000000001E-2</v>
      </c>
      <c r="K76" s="4">
        <v>57.1</v>
      </c>
      <c r="L76" s="4">
        <v>0</v>
      </c>
      <c r="M76" s="6">
        <f t="shared" si="4"/>
        <v>2.855</v>
      </c>
      <c r="N76" s="4">
        <v>204.3</v>
      </c>
      <c r="O76" s="7">
        <v>0.18</v>
      </c>
      <c r="P76" s="7">
        <v>0.81</v>
      </c>
      <c r="Q76" s="8">
        <v>0.91</v>
      </c>
      <c r="R76" s="4">
        <v>16</v>
      </c>
      <c r="S76" s="9">
        <f t="shared" si="5"/>
        <v>17.58241758241758</v>
      </c>
      <c r="T76" s="10">
        <v>1508</v>
      </c>
    </row>
    <row r="77" spans="1:20" ht="15" customHeight="1" x14ac:dyDescent="0.2">
      <c r="A77" s="11" t="s">
        <v>117</v>
      </c>
      <c r="B77" s="11" t="s">
        <v>85</v>
      </c>
      <c r="C77" s="11" t="s">
        <v>34</v>
      </c>
      <c r="D77" s="11" t="s">
        <v>35</v>
      </c>
      <c r="E77" s="11" t="s">
        <v>24</v>
      </c>
      <c r="F77" s="12">
        <v>45401</v>
      </c>
      <c r="G77" s="12">
        <v>45961</v>
      </c>
      <c r="H77" s="13">
        <v>21.3</v>
      </c>
      <c r="I77" s="13">
        <v>2.5</v>
      </c>
      <c r="J77" s="14">
        <v>0.11899999999999999</v>
      </c>
      <c r="K77" s="13">
        <v>2.5</v>
      </c>
      <c r="L77" s="13">
        <v>0</v>
      </c>
      <c r="M77" s="15">
        <f t="shared" si="4"/>
        <v>1</v>
      </c>
      <c r="N77" s="13">
        <v>0.1</v>
      </c>
      <c r="O77" s="21"/>
      <c r="P77" s="16">
        <v>0.38</v>
      </c>
      <c r="Q77" s="17">
        <v>0.27</v>
      </c>
      <c r="R77" s="13">
        <v>5.2</v>
      </c>
      <c r="S77" s="18">
        <f t="shared" si="5"/>
        <v>19.25925925925926</v>
      </c>
      <c r="T77" s="19">
        <v>10</v>
      </c>
    </row>
    <row r="78" spans="1:20" ht="15" customHeight="1" x14ac:dyDescent="0.2">
      <c r="A78" s="2" t="s">
        <v>118</v>
      </c>
      <c r="B78" s="2" t="s">
        <v>85</v>
      </c>
      <c r="C78" s="2" t="s">
        <v>27</v>
      </c>
      <c r="D78" s="2" t="s">
        <v>30</v>
      </c>
      <c r="E78" s="2" t="s">
        <v>24</v>
      </c>
      <c r="F78" s="3">
        <v>44861</v>
      </c>
      <c r="G78" s="3">
        <v>45435</v>
      </c>
      <c r="H78" s="4">
        <v>91</v>
      </c>
      <c r="I78" s="4">
        <v>4</v>
      </c>
      <c r="J78" s="5">
        <v>3.6999999999999998E-2</v>
      </c>
      <c r="K78" s="4">
        <v>3.4</v>
      </c>
      <c r="L78" s="4">
        <v>0</v>
      </c>
      <c r="M78" s="6">
        <f t="shared" si="4"/>
        <v>0.85</v>
      </c>
      <c r="N78" s="4">
        <v>9.8000000000000007</v>
      </c>
      <c r="O78" s="7">
        <v>0.52</v>
      </c>
      <c r="P78" s="7">
        <v>0.31</v>
      </c>
      <c r="Q78" s="8">
        <v>0.61</v>
      </c>
      <c r="R78" s="4">
        <v>7.7</v>
      </c>
      <c r="S78" s="9">
        <f t="shared" si="5"/>
        <v>12.622950819672132</v>
      </c>
      <c r="T78" s="10">
        <v>95</v>
      </c>
    </row>
    <row r="79" spans="1:20" ht="15" customHeight="1" x14ac:dyDescent="0.2">
      <c r="A79" s="11" t="s">
        <v>119</v>
      </c>
      <c r="B79" s="11" t="s">
        <v>40</v>
      </c>
      <c r="C79" s="11" t="s">
        <v>27</v>
      </c>
      <c r="D79" s="11" t="s">
        <v>35</v>
      </c>
      <c r="E79" s="11" t="s">
        <v>24</v>
      </c>
      <c r="F79" s="12">
        <v>45139</v>
      </c>
      <c r="G79" s="12">
        <v>45139</v>
      </c>
      <c r="H79" s="13">
        <v>12.5</v>
      </c>
      <c r="I79" s="13">
        <v>1</v>
      </c>
      <c r="J79" s="14">
        <v>0.10299999999999999</v>
      </c>
      <c r="K79" s="13">
        <v>1.3</v>
      </c>
      <c r="L79" s="13">
        <v>0</v>
      </c>
      <c r="M79" s="15">
        <f t="shared" si="4"/>
        <v>1.3</v>
      </c>
      <c r="N79" s="13">
        <v>0.4</v>
      </c>
      <c r="O79" s="16">
        <v>2.9</v>
      </c>
      <c r="P79" s="16">
        <v>0.76</v>
      </c>
      <c r="Q79" s="17">
        <v>0.25</v>
      </c>
      <c r="R79" s="13">
        <v>3.5</v>
      </c>
      <c r="S79" s="18">
        <f t="shared" si="5"/>
        <v>14</v>
      </c>
      <c r="T79" s="19">
        <v>22</v>
      </c>
    </row>
    <row r="80" spans="1:20" ht="15" customHeight="1" x14ac:dyDescent="0.2">
      <c r="A80" s="2" t="s">
        <v>120</v>
      </c>
      <c r="B80" s="2" t="s">
        <v>63</v>
      </c>
      <c r="C80" s="2" t="s">
        <v>22</v>
      </c>
      <c r="D80" s="2" t="s">
        <v>38</v>
      </c>
      <c r="E80" s="2" t="s">
        <v>24</v>
      </c>
      <c r="F80" s="3">
        <v>43796</v>
      </c>
      <c r="G80" s="3">
        <v>44925</v>
      </c>
      <c r="H80" s="4">
        <v>415.9</v>
      </c>
      <c r="I80" s="4">
        <v>6</v>
      </c>
      <c r="J80" s="5">
        <v>2.1000000000000001E-2</v>
      </c>
      <c r="K80" s="4">
        <v>8.6999999999999993</v>
      </c>
      <c r="L80" s="4">
        <v>0</v>
      </c>
      <c r="M80" s="6">
        <f t="shared" si="4"/>
        <v>1.45</v>
      </c>
      <c r="N80" s="4">
        <v>64.099999999999994</v>
      </c>
      <c r="O80" s="7">
        <v>0.31</v>
      </c>
      <c r="P80" s="7">
        <v>0.49</v>
      </c>
      <c r="Q80" s="8">
        <v>2.97</v>
      </c>
      <c r="R80" s="4">
        <v>57.5</v>
      </c>
      <c r="S80" s="9">
        <f t="shared" si="5"/>
        <v>19.36026936026936</v>
      </c>
      <c r="T80" s="10">
        <v>191</v>
      </c>
    </row>
    <row r="81" spans="1:20" ht="15" customHeight="1" x14ac:dyDescent="0.2">
      <c r="A81" s="11" t="s">
        <v>121</v>
      </c>
      <c r="B81" s="11" t="s">
        <v>44</v>
      </c>
      <c r="C81" s="11" t="s">
        <v>34</v>
      </c>
      <c r="D81" s="11" t="s">
        <v>35</v>
      </c>
      <c r="E81" s="11" t="s">
        <v>24</v>
      </c>
      <c r="F81" s="12">
        <v>45725</v>
      </c>
      <c r="G81" s="12">
        <v>45725</v>
      </c>
      <c r="H81" s="13">
        <v>25.5</v>
      </c>
      <c r="I81" s="13">
        <v>2.4</v>
      </c>
      <c r="J81" s="14">
        <v>0.10100000000000001</v>
      </c>
      <c r="K81" s="13">
        <v>2.6</v>
      </c>
      <c r="L81" s="13">
        <v>0</v>
      </c>
      <c r="M81" s="15">
        <f t="shared" si="4"/>
        <v>1.0833333333333335</v>
      </c>
      <c r="N81" s="13">
        <v>0.9</v>
      </c>
      <c r="O81" s="16">
        <v>0.75</v>
      </c>
      <c r="P81" s="16">
        <v>0.7</v>
      </c>
      <c r="Q81" s="17">
        <v>0.24</v>
      </c>
      <c r="R81" s="13">
        <v>7.8</v>
      </c>
      <c r="S81" s="18">
        <f t="shared" si="5"/>
        <v>32.5</v>
      </c>
      <c r="T81" s="19">
        <v>11</v>
      </c>
    </row>
    <row r="82" spans="1:20" ht="15" customHeight="1" x14ac:dyDescent="0.2">
      <c r="A82" s="2" t="s">
        <v>122</v>
      </c>
      <c r="B82" s="2" t="s">
        <v>29</v>
      </c>
      <c r="C82" s="2" t="s">
        <v>22</v>
      </c>
      <c r="D82" s="2" t="s">
        <v>38</v>
      </c>
      <c r="E82" s="2" t="s">
        <v>24</v>
      </c>
      <c r="F82" s="3">
        <v>44159</v>
      </c>
      <c r="G82" s="3">
        <v>45866</v>
      </c>
      <c r="H82" s="4">
        <v>677.3</v>
      </c>
      <c r="I82" s="4">
        <v>14.4</v>
      </c>
      <c r="J82" s="5">
        <v>4.1000000000000002E-2</v>
      </c>
      <c r="K82" s="4">
        <v>27.8</v>
      </c>
      <c r="L82" s="4">
        <v>0</v>
      </c>
      <c r="M82" s="6">
        <f t="shared" si="4"/>
        <v>1.9305555555555556</v>
      </c>
      <c r="N82" s="4">
        <v>78.8</v>
      </c>
      <c r="O82" s="7">
        <v>0.28999999999999998</v>
      </c>
      <c r="P82" s="7">
        <v>0.7</v>
      </c>
      <c r="Q82" s="8">
        <v>2.46</v>
      </c>
      <c r="R82" s="4">
        <v>73.599999999999994</v>
      </c>
      <c r="S82" s="9">
        <f t="shared" si="5"/>
        <v>29.918699186991869</v>
      </c>
      <c r="T82" s="10">
        <v>582</v>
      </c>
    </row>
    <row r="83" spans="1:20" ht="15" customHeight="1" x14ac:dyDescent="0.2">
      <c r="A83" s="11" t="s">
        <v>123</v>
      </c>
      <c r="B83" s="11" t="s">
        <v>44</v>
      </c>
      <c r="C83" s="11" t="s">
        <v>27</v>
      </c>
      <c r="D83" s="11" t="s">
        <v>30</v>
      </c>
      <c r="E83" s="11" t="s">
        <v>124</v>
      </c>
      <c r="F83" s="12">
        <v>45024</v>
      </c>
      <c r="G83" s="12">
        <v>45482</v>
      </c>
      <c r="H83" s="13">
        <v>130.69999999999999</v>
      </c>
      <c r="I83" s="13">
        <v>5.3</v>
      </c>
      <c r="J83" s="14">
        <v>3.6999999999999998E-2</v>
      </c>
      <c r="K83" s="13">
        <v>0</v>
      </c>
      <c r="L83" s="13">
        <v>0</v>
      </c>
      <c r="M83" s="15">
        <f t="shared" si="4"/>
        <v>0</v>
      </c>
      <c r="N83" s="21"/>
      <c r="O83" s="21"/>
      <c r="P83" s="21"/>
      <c r="Q83" s="21"/>
      <c r="R83" s="21"/>
      <c r="S83" s="18" t="str">
        <f t="shared" si="5"/>
        <v>-</v>
      </c>
      <c r="T83" s="21"/>
    </row>
    <row r="84" spans="1:20" ht="15" customHeight="1" x14ac:dyDescent="0.2">
      <c r="A84" s="2" t="s">
        <v>125</v>
      </c>
      <c r="B84" s="2" t="s">
        <v>44</v>
      </c>
      <c r="C84" s="2" t="s">
        <v>22</v>
      </c>
      <c r="D84" s="2" t="s">
        <v>38</v>
      </c>
      <c r="E84" s="2" t="s">
        <v>24</v>
      </c>
      <c r="F84" s="3">
        <v>43828</v>
      </c>
      <c r="G84" s="3">
        <v>45127</v>
      </c>
      <c r="H84" s="4">
        <v>285.10000000000002</v>
      </c>
      <c r="I84" s="4">
        <v>12.4</v>
      </c>
      <c r="J84" s="5">
        <v>3.7999999999999999E-2</v>
      </c>
      <c r="K84" s="4">
        <v>10.8</v>
      </c>
      <c r="L84" s="4">
        <v>0</v>
      </c>
      <c r="M84" s="6">
        <f t="shared" si="4"/>
        <v>0.87096774193548387</v>
      </c>
      <c r="N84" s="4">
        <v>68.599999999999994</v>
      </c>
      <c r="O84" s="7">
        <v>0.53</v>
      </c>
      <c r="P84" s="7">
        <v>0.82</v>
      </c>
      <c r="Q84" s="8">
        <v>2.95</v>
      </c>
      <c r="R84" s="4">
        <v>56</v>
      </c>
      <c r="S84" s="9">
        <f t="shared" si="5"/>
        <v>18.983050847457626</v>
      </c>
      <c r="T84" s="10">
        <v>514</v>
      </c>
    </row>
    <row r="85" spans="1:20" ht="15" customHeight="1" x14ac:dyDescent="0.2">
      <c r="A85" s="11" t="s">
        <v>126</v>
      </c>
      <c r="B85" s="11" t="s">
        <v>40</v>
      </c>
      <c r="C85" s="11" t="s">
        <v>34</v>
      </c>
      <c r="D85" s="11" t="s">
        <v>35</v>
      </c>
      <c r="E85" s="11" t="s">
        <v>24</v>
      </c>
      <c r="F85" s="12">
        <v>45481</v>
      </c>
      <c r="G85" s="12">
        <v>45910</v>
      </c>
      <c r="H85" s="13">
        <v>10.1</v>
      </c>
      <c r="I85" s="13">
        <v>1</v>
      </c>
      <c r="J85" s="14">
        <v>6.3E-2</v>
      </c>
      <c r="K85" s="13">
        <v>0.6</v>
      </c>
      <c r="L85" s="13">
        <v>0</v>
      </c>
      <c r="M85" s="15">
        <f t="shared" si="4"/>
        <v>0.6</v>
      </c>
      <c r="N85" s="13">
        <v>0.9</v>
      </c>
      <c r="O85" s="16">
        <v>0.64</v>
      </c>
      <c r="P85" s="16">
        <v>0.67</v>
      </c>
      <c r="Q85" s="17">
        <v>0.22</v>
      </c>
      <c r="R85" s="13">
        <v>4.7</v>
      </c>
      <c r="S85" s="18">
        <f t="shared" si="5"/>
        <v>21.363636363636363</v>
      </c>
      <c r="T85" s="19">
        <v>15</v>
      </c>
    </row>
    <row r="86" spans="1:20" ht="15" customHeight="1" x14ac:dyDescent="0.2">
      <c r="A86" s="2" t="s">
        <v>127</v>
      </c>
      <c r="B86" s="2" t="s">
        <v>37</v>
      </c>
      <c r="C86" s="2" t="s">
        <v>34</v>
      </c>
      <c r="D86" s="2" t="s">
        <v>23</v>
      </c>
      <c r="E86" s="2" t="s">
        <v>24</v>
      </c>
      <c r="F86" s="3">
        <v>46125</v>
      </c>
      <c r="G86" s="3">
        <v>46125</v>
      </c>
      <c r="H86" s="4">
        <v>86.9</v>
      </c>
      <c r="I86" s="4">
        <v>5.4</v>
      </c>
      <c r="J86" s="5">
        <v>7.0000000000000007E-2</v>
      </c>
      <c r="K86" s="4">
        <v>6.1</v>
      </c>
      <c r="L86" s="4">
        <v>0</v>
      </c>
      <c r="M86" s="6">
        <f t="shared" si="4"/>
        <v>1.1296296296296295</v>
      </c>
      <c r="N86" s="4">
        <v>3.9</v>
      </c>
      <c r="O86" s="7">
        <v>1.73</v>
      </c>
      <c r="P86" s="7">
        <v>0.59</v>
      </c>
      <c r="Q86" s="8">
        <v>0.72</v>
      </c>
      <c r="R86" s="4">
        <v>17.899999999999999</v>
      </c>
      <c r="S86" s="9">
        <f t="shared" si="5"/>
        <v>24.861111111111111</v>
      </c>
      <c r="T86" s="10">
        <v>67</v>
      </c>
    </row>
    <row r="87" spans="1:20" ht="15" customHeight="1" x14ac:dyDescent="0.2">
      <c r="A87" s="11" t="s">
        <v>128</v>
      </c>
      <c r="B87" s="11" t="s">
        <v>37</v>
      </c>
      <c r="C87" s="11" t="s">
        <v>27</v>
      </c>
      <c r="D87" s="11" t="s">
        <v>30</v>
      </c>
      <c r="E87" s="11" t="s">
        <v>24</v>
      </c>
      <c r="F87" s="12">
        <v>44474</v>
      </c>
      <c r="G87" s="12">
        <v>44995</v>
      </c>
      <c r="H87" s="13">
        <v>278.10000000000002</v>
      </c>
      <c r="I87" s="13">
        <v>10</v>
      </c>
      <c r="J87" s="14">
        <v>3.5999999999999997E-2</v>
      </c>
      <c r="K87" s="13">
        <v>10</v>
      </c>
      <c r="L87" s="13">
        <v>0</v>
      </c>
      <c r="M87" s="15">
        <f t="shared" si="4"/>
        <v>1</v>
      </c>
      <c r="N87" s="13">
        <v>12.7</v>
      </c>
      <c r="O87" s="16">
        <v>0.75</v>
      </c>
      <c r="P87" s="16">
        <v>0.67</v>
      </c>
      <c r="Q87" s="17">
        <v>1.31</v>
      </c>
      <c r="R87" s="13">
        <v>10.5</v>
      </c>
      <c r="S87" s="18">
        <f t="shared" si="5"/>
        <v>8.015267175572518</v>
      </c>
      <c r="T87" s="19">
        <v>122</v>
      </c>
    </row>
    <row r="88" spans="1:20" ht="15" customHeight="1" x14ac:dyDescent="0.2">
      <c r="A88" s="2" t="s">
        <v>129</v>
      </c>
      <c r="B88" s="2" t="s">
        <v>44</v>
      </c>
      <c r="C88" s="2" t="s">
        <v>22</v>
      </c>
      <c r="D88" s="2" t="s">
        <v>23</v>
      </c>
      <c r="E88" s="2" t="s">
        <v>24</v>
      </c>
      <c r="F88" s="3">
        <v>43890</v>
      </c>
      <c r="G88" s="3">
        <v>44455</v>
      </c>
      <c r="H88" s="4">
        <v>8.1999999999999993</v>
      </c>
      <c r="I88" s="4">
        <v>2</v>
      </c>
      <c r="J88" s="5">
        <v>0.08</v>
      </c>
      <c r="K88" s="4">
        <v>0.7</v>
      </c>
      <c r="L88" s="4">
        <v>0</v>
      </c>
      <c r="M88" s="6">
        <f t="shared" si="4"/>
        <v>0.35</v>
      </c>
      <c r="N88" s="4">
        <v>4.8</v>
      </c>
      <c r="O88" s="7">
        <v>1.01</v>
      </c>
      <c r="P88" s="7">
        <v>0.75</v>
      </c>
      <c r="Q88" s="8">
        <v>0.44</v>
      </c>
      <c r="R88" s="4">
        <v>11.7</v>
      </c>
      <c r="S88" s="9">
        <f t="shared" si="5"/>
        <v>26.59090909090909</v>
      </c>
      <c r="T88" s="10">
        <v>53</v>
      </c>
    </row>
    <row r="89" spans="1:20" ht="15" customHeight="1" x14ac:dyDescent="0.2">
      <c r="A89" s="11" t="s">
        <v>130</v>
      </c>
      <c r="B89" s="11" t="s">
        <v>40</v>
      </c>
      <c r="C89" s="11" t="s">
        <v>22</v>
      </c>
      <c r="D89" s="11" t="s">
        <v>38</v>
      </c>
      <c r="E89" s="11" t="s">
        <v>24</v>
      </c>
      <c r="F89" s="12">
        <v>44314</v>
      </c>
      <c r="G89" s="12">
        <v>44806</v>
      </c>
      <c r="H89" s="13">
        <v>842.1</v>
      </c>
      <c r="I89" s="13">
        <v>14</v>
      </c>
      <c r="J89" s="14">
        <v>5.8000000000000003E-2</v>
      </c>
      <c r="K89" s="13">
        <v>48.8</v>
      </c>
      <c r="L89" s="13">
        <v>0</v>
      </c>
      <c r="M89" s="15">
        <f t="shared" si="4"/>
        <v>3.4857142857142853</v>
      </c>
      <c r="N89" s="13">
        <v>54.5</v>
      </c>
      <c r="O89" s="16">
        <v>0.72</v>
      </c>
      <c r="P89" s="16">
        <v>0.62</v>
      </c>
      <c r="Q89" s="17">
        <v>2.73</v>
      </c>
      <c r="R89" s="13">
        <v>50</v>
      </c>
      <c r="S89" s="18">
        <f t="shared" si="5"/>
        <v>18.315018315018314</v>
      </c>
      <c r="T89" s="19">
        <v>495</v>
      </c>
    </row>
    <row r="90" spans="1:20" ht="15" customHeight="1" x14ac:dyDescent="0.2">
      <c r="A90" s="2" t="s">
        <v>131</v>
      </c>
      <c r="B90" s="2" t="s">
        <v>44</v>
      </c>
      <c r="C90" s="2" t="s">
        <v>27</v>
      </c>
      <c r="D90" s="2" t="s">
        <v>38</v>
      </c>
      <c r="E90" s="2" t="s">
        <v>24</v>
      </c>
      <c r="F90" s="3">
        <v>44969</v>
      </c>
      <c r="G90" s="3">
        <v>45826</v>
      </c>
      <c r="H90" s="4">
        <v>653.6</v>
      </c>
      <c r="I90" s="4">
        <v>15</v>
      </c>
      <c r="J90" s="5">
        <v>5.7000000000000002E-2</v>
      </c>
      <c r="K90" s="4">
        <v>37.299999999999997</v>
      </c>
      <c r="L90" s="4">
        <v>0</v>
      </c>
      <c r="M90" s="6">
        <f t="shared" si="4"/>
        <v>2.4866666666666664</v>
      </c>
      <c r="N90" s="4">
        <v>74</v>
      </c>
      <c r="O90" s="7">
        <v>0.55000000000000004</v>
      </c>
      <c r="P90" s="7">
        <v>0.73</v>
      </c>
      <c r="Q90" s="8">
        <v>1.64</v>
      </c>
      <c r="R90" s="4">
        <v>22.2</v>
      </c>
      <c r="S90" s="9">
        <f t="shared" si="5"/>
        <v>13.536585365853659</v>
      </c>
      <c r="T90" s="10">
        <v>320</v>
      </c>
    </row>
    <row r="91" spans="1:20" ht="15" customHeight="1" x14ac:dyDescent="0.2">
      <c r="A91" s="11" t="s">
        <v>132</v>
      </c>
      <c r="B91" s="11" t="s">
        <v>85</v>
      </c>
      <c r="C91" s="11" t="s">
        <v>22</v>
      </c>
      <c r="D91" s="11" t="s">
        <v>52</v>
      </c>
      <c r="E91" s="11" t="s">
        <v>24</v>
      </c>
      <c r="F91" s="12">
        <v>43980</v>
      </c>
      <c r="G91" s="12">
        <v>44702</v>
      </c>
      <c r="H91" s="13">
        <v>5699.4</v>
      </c>
      <c r="I91" s="13">
        <v>10.9</v>
      </c>
      <c r="J91" s="14">
        <v>1.2E-2</v>
      </c>
      <c r="K91" s="13">
        <v>68.400000000000006</v>
      </c>
      <c r="L91" s="13">
        <v>0</v>
      </c>
      <c r="M91" s="15">
        <f t="shared" si="4"/>
        <v>6.2752293577981657</v>
      </c>
      <c r="N91" s="13">
        <v>252.8</v>
      </c>
      <c r="O91" s="16">
        <v>0.54</v>
      </c>
      <c r="P91" s="16">
        <v>0.45</v>
      </c>
      <c r="Q91" s="17">
        <v>3.63</v>
      </c>
      <c r="R91" s="13">
        <v>57.8</v>
      </c>
      <c r="S91" s="18">
        <f t="shared" si="5"/>
        <v>15.922865013774105</v>
      </c>
      <c r="T91" s="19">
        <v>718</v>
      </c>
    </row>
    <row r="92" spans="1:20" ht="15" customHeight="1" x14ac:dyDescent="0.2">
      <c r="A92" s="2" t="s">
        <v>133</v>
      </c>
      <c r="B92" s="2" t="s">
        <v>33</v>
      </c>
      <c r="C92" s="2" t="s">
        <v>22</v>
      </c>
      <c r="D92" s="2" t="s">
        <v>30</v>
      </c>
      <c r="E92" s="2" t="s">
        <v>24</v>
      </c>
      <c r="F92" s="3">
        <v>44352</v>
      </c>
      <c r="G92" s="3">
        <v>45266</v>
      </c>
      <c r="H92" s="4">
        <v>289.89999999999998</v>
      </c>
      <c r="I92" s="4">
        <v>10</v>
      </c>
      <c r="J92" s="5">
        <v>8.3000000000000004E-2</v>
      </c>
      <c r="K92" s="4">
        <v>24.1</v>
      </c>
      <c r="L92" s="4">
        <v>0</v>
      </c>
      <c r="M92" s="6">
        <f t="shared" si="4"/>
        <v>2.41</v>
      </c>
      <c r="N92" s="4">
        <v>12.8</v>
      </c>
      <c r="O92" s="7">
        <v>0.79</v>
      </c>
      <c r="P92" s="7">
        <v>0.7</v>
      </c>
      <c r="Q92" s="8">
        <v>0.69</v>
      </c>
      <c r="R92" s="4">
        <v>5.6</v>
      </c>
      <c r="S92" s="9">
        <f t="shared" si="5"/>
        <v>8.1159420289855078</v>
      </c>
      <c r="T92" s="10">
        <v>92</v>
      </c>
    </row>
    <row r="93" spans="1:20" ht="15" customHeight="1" x14ac:dyDescent="0.2">
      <c r="A93" s="11" t="s">
        <v>134</v>
      </c>
      <c r="B93" s="11" t="s">
        <v>29</v>
      </c>
      <c r="C93" s="11" t="s">
        <v>27</v>
      </c>
      <c r="D93" s="11" t="s">
        <v>30</v>
      </c>
      <c r="E93" s="11" t="s">
        <v>24</v>
      </c>
      <c r="F93" s="12">
        <v>44470</v>
      </c>
      <c r="G93" s="12">
        <v>45898</v>
      </c>
      <c r="H93" s="13">
        <v>302.2</v>
      </c>
      <c r="I93" s="13">
        <v>10</v>
      </c>
      <c r="J93" s="14">
        <v>4.2999999999999997E-2</v>
      </c>
      <c r="K93" s="13">
        <v>13</v>
      </c>
      <c r="L93" s="13">
        <v>0</v>
      </c>
      <c r="M93" s="15">
        <f t="shared" si="4"/>
        <v>1.3</v>
      </c>
      <c r="N93" s="13">
        <v>14.3</v>
      </c>
      <c r="O93" s="16">
        <v>0.46</v>
      </c>
      <c r="P93" s="16">
        <v>0.71</v>
      </c>
      <c r="Q93" s="17">
        <v>1.37</v>
      </c>
      <c r="R93" s="13">
        <v>29.3</v>
      </c>
      <c r="S93" s="18">
        <f t="shared" si="5"/>
        <v>21.386861313868611</v>
      </c>
      <c r="T93" s="19">
        <v>78</v>
      </c>
    </row>
    <row r="94" spans="1:20" ht="15" customHeight="1" x14ac:dyDescent="0.2">
      <c r="A94" s="2" t="s">
        <v>135</v>
      </c>
      <c r="B94" s="2" t="s">
        <v>37</v>
      </c>
      <c r="C94" s="2" t="s">
        <v>34</v>
      </c>
      <c r="D94" s="2" t="s">
        <v>35</v>
      </c>
      <c r="E94" s="2" t="s">
        <v>24</v>
      </c>
      <c r="F94" s="3">
        <v>45630</v>
      </c>
      <c r="G94" s="3">
        <v>45630</v>
      </c>
      <c r="H94" s="4">
        <v>22.6</v>
      </c>
      <c r="I94" s="4">
        <v>1.8</v>
      </c>
      <c r="J94" s="5">
        <v>7.6999999999999999E-2</v>
      </c>
      <c r="K94" s="4">
        <v>1.7</v>
      </c>
      <c r="L94" s="4">
        <v>0</v>
      </c>
      <c r="M94" s="6">
        <f t="shared" si="4"/>
        <v>0.94444444444444442</v>
      </c>
      <c r="N94" s="4">
        <v>0.7</v>
      </c>
      <c r="O94" s="7">
        <v>-0.3</v>
      </c>
      <c r="P94" s="7">
        <v>0.51</v>
      </c>
      <c r="Q94" s="8">
        <v>0.27</v>
      </c>
      <c r="R94" s="4">
        <v>5.2</v>
      </c>
      <c r="S94" s="9">
        <f t="shared" si="5"/>
        <v>19.25925925925926</v>
      </c>
      <c r="T94" s="10">
        <v>17</v>
      </c>
    </row>
    <row r="95" spans="1:20" ht="15" customHeight="1" x14ac:dyDescent="0.2">
      <c r="A95" s="11" t="s">
        <v>136</v>
      </c>
      <c r="B95" s="11" t="s">
        <v>26</v>
      </c>
      <c r="C95" s="11" t="s">
        <v>27</v>
      </c>
      <c r="D95" s="11" t="s">
        <v>23</v>
      </c>
      <c r="E95" s="11" t="s">
        <v>24</v>
      </c>
      <c r="F95" s="12">
        <v>45113</v>
      </c>
      <c r="G95" s="12">
        <v>45727</v>
      </c>
      <c r="H95" s="13">
        <v>60.3</v>
      </c>
      <c r="I95" s="13">
        <v>6</v>
      </c>
      <c r="J95" s="14">
        <v>0.13</v>
      </c>
      <c r="K95" s="13">
        <v>7.8</v>
      </c>
      <c r="L95" s="13">
        <v>0</v>
      </c>
      <c r="M95" s="15">
        <f t="shared" si="4"/>
        <v>1.3</v>
      </c>
      <c r="N95" s="13">
        <v>1.7</v>
      </c>
      <c r="O95" s="16">
        <v>0.62</v>
      </c>
      <c r="P95" s="16">
        <v>0.7</v>
      </c>
      <c r="Q95" s="17">
        <v>0.27</v>
      </c>
      <c r="R95" s="13">
        <v>5</v>
      </c>
      <c r="S95" s="18">
        <f t="shared" si="5"/>
        <v>18.518518518518519</v>
      </c>
      <c r="T95" s="19">
        <v>39</v>
      </c>
    </row>
    <row r="96" spans="1:20" ht="15" customHeight="1" x14ac:dyDescent="0.2">
      <c r="A96" s="2" t="s">
        <v>137</v>
      </c>
      <c r="B96" s="2" t="s">
        <v>71</v>
      </c>
      <c r="C96" s="2" t="s">
        <v>27</v>
      </c>
      <c r="D96" s="2" t="s">
        <v>23</v>
      </c>
      <c r="E96" s="2" t="s">
        <v>24</v>
      </c>
      <c r="F96" s="3">
        <v>44721</v>
      </c>
      <c r="G96" s="3">
        <v>46151</v>
      </c>
      <c r="H96" s="4">
        <v>15.6</v>
      </c>
      <c r="I96" s="4">
        <v>2.9</v>
      </c>
      <c r="J96" s="5">
        <v>7.2999999999999995E-2</v>
      </c>
      <c r="K96" s="4">
        <v>1.1000000000000001</v>
      </c>
      <c r="L96" s="4">
        <v>0</v>
      </c>
      <c r="M96" s="6">
        <f t="shared" si="4"/>
        <v>0.37931034482758624</v>
      </c>
      <c r="N96" s="4">
        <v>1.6</v>
      </c>
      <c r="O96" s="7">
        <v>1.1599999999999999</v>
      </c>
      <c r="P96" s="7">
        <v>0.74</v>
      </c>
      <c r="Q96" s="8">
        <v>0.46</v>
      </c>
      <c r="R96" s="4">
        <v>6.6</v>
      </c>
      <c r="S96" s="9">
        <f t="shared" si="5"/>
        <v>14.34782608695652</v>
      </c>
      <c r="T96" s="10">
        <v>60</v>
      </c>
    </row>
    <row r="97" spans="1:20" ht="15" customHeight="1" x14ac:dyDescent="0.2">
      <c r="A97" s="11" t="s">
        <v>138</v>
      </c>
      <c r="B97" s="11" t="s">
        <v>51</v>
      </c>
      <c r="C97" s="11" t="s">
        <v>27</v>
      </c>
      <c r="D97" s="11" t="s">
        <v>52</v>
      </c>
      <c r="E97" s="11" t="s">
        <v>24</v>
      </c>
      <c r="F97" s="12">
        <v>45044</v>
      </c>
      <c r="G97" s="12">
        <v>45751</v>
      </c>
      <c r="H97" s="13">
        <v>2170.9</v>
      </c>
      <c r="I97" s="13">
        <v>20</v>
      </c>
      <c r="J97" s="14">
        <v>1.2999999999999999E-2</v>
      </c>
      <c r="K97" s="13">
        <v>28.2</v>
      </c>
      <c r="L97" s="13">
        <v>0</v>
      </c>
      <c r="M97" s="15">
        <f t="shared" si="4"/>
        <v>1.41</v>
      </c>
      <c r="N97" s="13">
        <v>189.6</v>
      </c>
      <c r="O97" s="16">
        <v>0.32</v>
      </c>
      <c r="P97" s="16">
        <v>0.47</v>
      </c>
      <c r="Q97" s="17">
        <v>1.76</v>
      </c>
      <c r="R97" s="13">
        <v>40.799999999999997</v>
      </c>
      <c r="S97" s="18">
        <f t="shared" si="5"/>
        <v>23.18181818181818</v>
      </c>
      <c r="T97" s="19">
        <v>1545</v>
      </c>
    </row>
    <row r="98" spans="1:20" ht="15" customHeight="1" x14ac:dyDescent="0.2">
      <c r="A98" s="2" t="s">
        <v>139</v>
      </c>
      <c r="B98" s="2" t="s">
        <v>71</v>
      </c>
      <c r="C98" s="2" t="s">
        <v>22</v>
      </c>
      <c r="D98" s="2" t="s">
        <v>23</v>
      </c>
      <c r="E98" s="2" t="s">
        <v>24</v>
      </c>
      <c r="F98" s="3">
        <v>44153</v>
      </c>
      <c r="G98" s="3">
        <v>44564</v>
      </c>
      <c r="H98" s="4">
        <v>17.399999999999999</v>
      </c>
      <c r="I98" s="4">
        <v>2.7</v>
      </c>
      <c r="J98" s="5">
        <v>0.121</v>
      </c>
      <c r="K98" s="4">
        <v>2.1</v>
      </c>
      <c r="L98" s="4">
        <v>0</v>
      </c>
      <c r="M98" s="6">
        <f t="shared" ref="M98:M129" si="6">(K98+L98)/I98</f>
        <v>0.77777777777777779</v>
      </c>
      <c r="N98" s="4">
        <v>2.8</v>
      </c>
      <c r="O98" s="7">
        <v>1.99</v>
      </c>
      <c r="P98" s="7">
        <v>0.76</v>
      </c>
      <c r="Q98" s="8">
        <v>0.53</v>
      </c>
      <c r="R98" s="4">
        <v>11.1</v>
      </c>
      <c r="S98" s="9">
        <f t="shared" ref="S98:S129" si="7">IF(AND(ISNUMBER(Q98),Q98&gt;0),R98/Q98,"-")</f>
        <v>20.943396226415093</v>
      </c>
      <c r="T98" s="10">
        <v>64</v>
      </c>
    </row>
    <row r="99" spans="1:20" ht="15" customHeight="1" x14ac:dyDescent="0.2">
      <c r="A99" s="11" t="s">
        <v>140</v>
      </c>
      <c r="B99" s="11" t="s">
        <v>29</v>
      </c>
      <c r="C99" s="11" t="s">
        <v>34</v>
      </c>
      <c r="D99" s="11" t="s">
        <v>35</v>
      </c>
      <c r="E99" s="11" t="s">
        <v>24</v>
      </c>
      <c r="F99" s="12">
        <v>45982</v>
      </c>
      <c r="G99" s="12">
        <v>45982</v>
      </c>
      <c r="H99" s="13">
        <v>22.1</v>
      </c>
      <c r="I99" s="13">
        <v>2.1</v>
      </c>
      <c r="J99" s="14">
        <v>0.10299999999999999</v>
      </c>
      <c r="K99" s="13">
        <v>2.2999999999999998</v>
      </c>
      <c r="L99" s="13">
        <v>0</v>
      </c>
      <c r="M99" s="15">
        <f t="shared" si="6"/>
        <v>1.0952380952380951</v>
      </c>
      <c r="N99" s="13">
        <v>1.3</v>
      </c>
      <c r="O99" s="16">
        <v>1.67</v>
      </c>
      <c r="P99" s="16">
        <v>0.76</v>
      </c>
      <c r="Q99" s="17">
        <v>0.16</v>
      </c>
      <c r="R99" s="13">
        <v>5.0999999999999996</v>
      </c>
      <c r="S99" s="18">
        <f t="shared" si="7"/>
        <v>31.874999999999996</v>
      </c>
      <c r="T99" s="19">
        <v>21</v>
      </c>
    </row>
    <row r="100" spans="1:20" ht="15" customHeight="1" x14ac:dyDescent="0.2">
      <c r="A100" s="2" t="s">
        <v>141</v>
      </c>
      <c r="B100" s="2" t="s">
        <v>44</v>
      </c>
      <c r="C100" s="2" t="s">
        <v>27</v>
      </c>
      <c r="D100" s="2" t="s">
        <v>23</v>
      </c>
      <c r="E100" s="2" t="s">
        <v>24</v>
      </c>
      <c r="F100" s="3">
        <v>44637</v>
      </c>
      <c r="G100" s="3">
        <v>45923</v>
      </c>
      <c r="H100" s="4">
        <v>54.6</v>
      </c>
      <c r="I100" s="4">
        <v>3.7</v>
      </c>
      <c r="J100" s="5">
        <v>0.13500000000000001</v>
      </c>
      <c r="K100" s="4">
        <v>7.4</v>
      </c>
      <c r="L100" s="4">
        <v>0</v>
      </c>
      <c r="M100" s="6">
        <f t="shared" si="6"/>
        <v>2</v>
      </c>
      <c r="N100" s="4">
        <v>1.2</v>
      </c>
      <c r="O100" s="7">
        <v>1.99</v>
      </c>
      <c r="P100" s="7">
        <v>0.77</v>
      </c>
      <c r="Q100" s="8">
        <v>0.3</v>
      </c>
      <c r="R100" s="4">
        <v>6.8</v>
      </c>
      <c r="S100" s="9">
        <f t="shared" si="7"/>
        <v>22.666666666666668</v>
      </c>
      <c r="T100" s="10">
        <v>54</v>
      </c>
    </row>
    <row r="101" spans="1:20" ht="15" customHeight="1" x14ac:dyDescent="0.2">
      <c r="A101" s="11" t="s">
        <v>142</v>
      </c>
      <c r="B101" s="11" t="s">
        <v>40</v>
      </c>
      <c r="C101" s="11" t="s">
        <v>34</v>
      </c>
      <c r="D101" s="11" t="s">
        <v>35</v>
      </c>
      <c r="E101" s="11" t="s">
        <v>124</v>
      </c>
      <c r="F101" s="12">
        <v>45506</v>
      </c>
      <c r="G101" s="12">
        <v>45506</v>
      </c>
      <c r="H101" s="13">
        <v>12.1</v>
      </c>
      <c r="I101" s="13">
        <v>0.7</v>
      </c>
      <c r="J101" s="14">
        <v>8.2000000000000003E-2</v>
      </c>
      <c r="K101" s="13">
        <v>0</v>
      </c>
      <c r="L101" s="13">
        <v>0</v>
      </c>
      <c r="M101" s="15">
        <f t="shared" si="6"/>
        <v>0</v>
      </c>
      <c r="N101" s="21"/>
      <c r="O101" s="21"/>
      <c r="P101" s="21"/>
      <c r="Q101" s="21"/>
      <c r="R101" s="21"/>
      <c r="S101" s="18" t="str">
        <f t="shared" si="7"/>
        <v>-</v>
      </c>
      <c r="T101" s="21"/>
    </row>
  </sheetData>
  <autoFilter ref="A1:T10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tabSelected="1" zoomScaleNormal="100" workbookViewId="0">
      <pane ySplit="1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1" customWidth="1"/>
    <col min="2" max="2" width="22" customWidth="1"/>
    <col min="3" max="3" width="21" customWidth="1"/>
    <col min="4" max="4" width="30" customWidth="1"/>
    <col min="5" max="5" width="13" customWidth="1"/>
    <col min="6" max="6" width="11" customWidth="1"/>
    <col min="7" max="7" width="12" customWidth="1"/>
    <col min="8" max="8" width="11" customWidth="1"/>
    <col min="9" max="9" width="52" customWidth="1"/>
  </cols>
  <sheetData>
    <row r="1" spans="1:9" ht="30" customHeight="1" x14ac:dyDescent="0.2">
      <c r="A1" s="1" t="s">
        <v>143</v>
      </c>
      <c r="B1" s="1" t="s">
        <v>0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</row>
    <row r="2" spans="1:9" ht="15" customHeight="1" x14ac:dyDescent="0.2">
      <c r="A2" s="22">
        <v>46209</v>
      </c>
      <c r="B2" s="2" t="s">
        <v>31</v>
      </c>
      <c r="C2" s="2" t="s">
        <v>151</v>
      </c>
      <c r="D2" s="2" t="s">
        <v>30</v>
      </c>
      <c r="E2" s="4">
        <v>103.8</v>
      </c>
      <c r="F2" s="20"/>
      <c r="G2" s="5">
        <v>5.5E-2</v>
      </c>
      <c r="H2" s="20"/>
      <c r="I2" s="20" t="s">
        <v>152</v>
      </c>
    </row>
    <row r="3" spans="1:9" ht="15" customHeight="1" x14ac:dyDescent="0.2">
      <c r="A3" s="23">
        <v>46211</v>
      </c>
      <c r="B3" s="11" t="s">
        <v>43</v>
      </c>
      <c r="C3" s="11" t="s">
        <v>151</v>
      </c>
      <c r="D3" s="11" t="s">
        <v>23</v>
      </c>
      <c r="E3" s="13">
        <v>43</v>
      </c>
      <c r="F3" s="13">
        <v>1.3</v>
      </c>
      <c r="G3" s="14">
        <v>0.111</v>
      </c>
      <c r="H3" s="21"/>
      <c r="I3" s="21" t="s">
        <v>153</v>
      </c>
    </row>
    <row r="4" spans="1:9" ht="15" customHeight="1" x14ac:dyDescent="0.2">
      <c r="A4" s="22">
        <v>46230</v>
      </c>
      <c r="B4" s="2" t="s">
        <v>49</v>
      </c>
      <c r="C4" s="2" t="s">
        <v>151</v>
      </c>
      <c r="D4" s="2" t="s">
        <v>23</v>
      </c>
      <c r="E4" s="4">
        <v>45.1</v>
      </c>
      <c r="F4" s="4">
        <v>0.9</v>
      </c>
      <c r="G4" s="5">
        <v>6.8000000000000005E-2</v>
      </c>
      <c r="H4" s="20"/>
      <c r="I4" s="20" t="s">
        <v>154</v>
      </c>
    </row>
    <row r="5" spans="1:9" ht="15" customHeight="1" x14ac:dyDescent="0.2">
      <c r="A5" s="23">
        <v>46238</v>
      </c>
      <c r="B5" s="11" t="s">
        <v>36</v>
      </c>
      <c r="C5" s="11" t="s">
        <v>151</v>
      </c>
      <c r="D5" s="11" t="s">
        <v>155</v>
      </c>
      <c r="E5" s="13">
        <v>1837.9</v>
      </c>
      <c r="F5" s="21"/>
      <c r="G5" s="14">
        <v>0.04</v>
      </c>
      <c r="H5" s="21"/>
      <c r="I5" s="21" t="s">
        <v>156</v>
      </c>
    </row>
    <row r="6" spans="1:9" ht="15" customHeight="1" x14ac:dyDescent="0.2">
      <c r="A6" s="22">
        <v>46245</v>
      </c>
      <c r="B6" s="2" t="s">
        <v>53</v>
      </c>
      <c r="C6" s="2" t="s">
        <v>151</v>
      </c>
      <c r="D6" s="2" t="s">
        <v>157</v>
      </c>
      <c r="E6" s="4">
        <v>176.3</v>
      </c>
      <c r="F6" s="4">
        <v>1.1000000000000001</v>
      </c>
      <c r="G6" s="5">
        <v>7.9000000000000001E-2</v>
      </c>
      <c r="H6" s="20"/>
      <c r="I6" s="20" t="s">
        <v>158</v>
      </c>
    </row>
    <row r="7" spans="1:9" ht="15" customHeight="1" x14ac:dyDescent="0.2">
      <c r="A7" s="23">
        <v>46246</v>
      </c>
      <c r="B7" s="11" t="s">
        <v>28</v>
      </c>
      <c r="C7" s="11" t="s">
        <v>159</v>
      </c>
      <c r="D7" s="11" t="s">
        <v>160</v>
      </c>
      <c r="E7" s="13">
        <v>324</v>
      </c>
      <c r="F7" s="21"/>
      <c r="G7" s="21"/>
      <c r="H7" s="13">
        <v>28.2</v>
      </c>
      <c r="I7" s="21" t="s">
        <v>161</v>
      </c>
    </row>
    <row r="8" spans="1:9" ht="15" customHeight="1" x14ac:dyDescent="0.2">
      <c r="A8" s="22">
        <v>46253</v>
      </c>
      <c r="B8" s="2" t="s">
        <v>48</v>
      </c>
      <c r="C8" s="2" t="s">
        <v>162</v>
      </c>
      <c r="D8" s="2" t="s">
        <v>163</v>
      </c>
      <c r="E8" s="4">
        <v>516</v>
      </c>
      <c r="F8" s="20"/>
      <c r="G8" s="5">
        <v>1.7000000000000001E-2</v>
      </c>
      <c r="H8" s="4">
        <v>3.9</v>
      </c>
      <c r="I8" s="20" t="s">
        <v>164</v>
      </c>
    </row>
    <row r="9" spans="1:9" ht="15" customHeight="1" x14ac:dyDescent="0.2">
      <c r="A9" s="23">
        <v>46257</v>
      </c>
      <c r="B9" s="11" t="s">
        <v>32</v>
      </c>
      <c r="C9" s="11" t="s">
        <v>165</v>
      </c>
      <c r="D9" s="11" t="s">
        <v>166</v>
      </c>
      <c r="E9" s="21"/>
      <c r="F9" s="21"/>
      <c r="G9" s="21"/>
      <c r="H9" s="21"/>
      <c r="I9" s="21" t="s">
        <v>167</v>
      </c>
    </row>
    <row r="10" spans="1:9" ht="15" customHeight="1" x14ac:dyDescent="0.2">
      <c r="A10" s="22">
        <v>46258</v>
      </c>
      <c r="B10" s="2" t="s">
        <v>20</v>
      </c>
      <c r="C10" s="2" t="s">
        <v>151</v>
      </c>
      <c r="D10" s="2" t="s">
        <v>30</v>
      </c>
      <c r="E10" s="4">
        <v>128.5</v>
      </c>
      <c r="F10" s="20"/>
      <c r="G10" s="5">
        <v>0.108</v>
      </c>
      <c r="H10" s="20"/>
      <c r="I10" s="20" t="s">
        <v>168</v>
      </c>
    </row>
    <row r="11" spans="1:9" ht="15" customHeight="1" x14ac:dyDescent="0.2">
      <c r="A11" s="23">
        <v>46261</v>
      </c>
      <c r="B11" s="11" t="s">
        <v>42</v>
      </c>
      <c r="C11" s="11" t="s">
        <v>151</v>
      </c>
      <c r="D11" s="11" t="s">
        <v>155</v>
      </c>
      <c r="E11" s="13">
        <v>764.2</v>
      </c>
      <c r="F11" s="21"/>
      <c r="G11" s="14">
        <v>3.7999999999999999E-2</v>
      </c>
      <c r="H11" s="21"/>
      <c r="I11" s="21" t="s">
        <v>169</v>
      </c>
    </row>
    <row r="12" spans="1:9" ht="15" customHeight="1" x14ac:dyDescent="0.2">
      <c r="A12" s="22">
        <v>46262</v>
      </c>
      <c r="B12" s="2" t="s">
        <v>96</v>
      </c>
      <c r="C12" s="2" t="s">
        <v>165</v>
      </c>
      <c r="D12" s="2" t="s">
        <v>170</v>
      </c>
      <c r="E12" s="20"/>
      <c r="F12" s="4">
        <v>0.5</v>
      </c>
      <c r="G12" s="20"/>
      <c r="H12" s="20"/>
      <c r="I12" s="20" t="s">
        <v>171</v>
      </c>
    </row>
    <row r="13" spans="1:9" ht="15" customHeight="1" x14ac:dyDescent="0.2">
      <c r="A13" s="23">
        <v>46266</v>
      </c>
      <c r="B13" s="11" t="s">
        <v>81</v>
      </c>
      <c r="C13" s="11" t="s">
        <v>151</v>
      </c>
      <c r="D13" s="11" t="s">
        <v>172</v>
      </c>
      <c r="E13" s="13">
        <v>37</v>
      </c>
      <c r="F13" s="21"/>
      <c r="G13" s="14">
        <v>6.3E-2</v>
      </c>
      <c r="H13" s="21"/>
      <c r="I13" s="21" t="s">
        <v>173</v>
      </c>
    </row>
    <row r="14" spans="1:9" ht="15" customHeight="1" x14ac:dyDescent="0.2">
      <c r="A14" s="22">
        <v>46271</v>
      </c>
      <c r="B14" s="2" t="s">
        <v>57</v>
      </c>
      <c r="C14" s="2" t="s">
        <v>151</v>
      </c>
      <c r="D14" s="2" t="s">
        <v>174</v>
      </c>
      <c r="E14" s="4">
        <v>14.2</v>
      </c>
      <c r="F14" s="4">
        <v>0.3</v>
      </c>
      <c r="G14" s="5">
        <v>0.08</v>
      </c>
      <c r="H14" s="20"/>
      <c r="I14" s="20" t="s">
        <v>175</v>
      </c>
    </row>
    <row r="15" spans="1:9" ht="15" customHeight="1" x14ac:dyDescent="0.2">
      <c r="A15" s="23">
        <v>46273</v>
      </c>
      <c r="B15" s="11" t="s">
        <v>39</v>
      </c>
      <c r="C15" s="11" t="s">
        <v>176</v>
      </c>
      <c r="D15" s="11" t="s">
        <v>177</v>
      </c>
      <c r="E15" s="13">
        <v>133</v>
      </c>
      <c r="F15" s="21"/>
      <c r="G15" s="21"/>
      <c r="H15" s="21"/>
      <c r="I15" s="21" t="s">
        <v>178</v>
      </c>
    </row>
    <row r="16" spans="1:9" ht="15" customHeight="1" x14ac:dyDescent="0.2">
      <c r="A16" s="22">
        <v>46279</v>
      </c>
      <c r="B16" s="2" t="s">
        <v>77</v>
      </c>
      <c r="C16" s="2" t="s">
        <v>179</v>
      </c>
      <c r="D16" s="2" t="s">
        <v>180</v>
      </c>
      <c r="E16" s="20"/>
      <c r="F16" s="20"/>
      <c r="G16" s="20"/>
      <c r="H16" s="4">
        <v>0.4</v>
      </c>
      <c r="I16" s="20" t="s">
        <v>181</v>
      </c>
    </row>
    <row r="17" spans="1:9" ht="15" customHeight="1" x14ac:dyDescent="0.2">
      <c r="A17" s="23">
        <v>46282</v>
      </c>
      <c r="B17" s="11" t="s">
        <v>41</v>
      </c>
      <c r="C17" s="11" t="s">
        <v>182</v>
      </c>
      <c r="D17" s="11" t="s">
        <v>183</v>
      </c>
      <c r="E17" s="13">
        <v>50</v>
      </c>
      <c r="F17" s="21"/>
      <c r="G17" s="21"/>
      <c r="H17" s="21"/>
      <c r="I17" s="21" t="s">
        <v>184</v>
      </c>
    </row>
    <row r="18" spans="1:9" ht="15" customHeight="1" x14ac:dyDescent="0.2">
      <c r="A18" s="22">
        <v>46285</v>
      </c>
      <c r="B18" s="2" t="s">
        <v>68</v>
      </c>
      <c r="C18" s="2" t="s">
        <v>185</v>
      </c>
      <c r="D18" s="2" t="s">
        <v>186</v>
      </c>
      <c r="E18" s="4">
        <v>3931</v>
      </c>
      <c r="F18" s="20"/>
      <c r="G18" s="5">
        <v>2.8000000000000001E-2</v>
      </c>
      <c r="H18" s="20"/>
      <c r="I18" s="20" t="s">
        <v>187</v>
      </c>
    </row>
    <row r="19" spans="1:9" ht="15" customHeight="1" x14ac:dyDescent="0.2">
      <c r="A19" s="23">
        <v>46287</v>
      </c>
      <c r="B19" s="11" t="s">
        <v>128</v>
      </c>
      <c r="C19" s="11" t="s">
        <v>179</v>
      </c>
      <c r="D19" s="11" t="s">
        <v>180</v>
      </c>
      <c r="E19" s="21"/>
      <c r="F19" s="21"/>
      <c r="G19" s="21"/>
      <c r="H19" s="21"/>
      <c r="I19" s="21" t="s">
        <v>188</v>
      </c>
    </row>
    <row r="20" spans="1:9" x14ac:dyDescent="0.2">
      <c r="A20" s="22">
        <v>46205</v>
      </c>
      <c r="B20" s="2" t="s">
        <v>54</v>
      </c>
      <c r="C20" s="2" t="s">
        <v>189</v>
      </c>
      <c r="D20" s="2" t="s">
        <v>190</v>
      </c>
      <c r="E20" s="4"/>
      <c r="F20" s="20"/>
      <c r="G20" s="5">
        <v>0.109</v>
      </c>
      <c r="H20" s="20"/>
      <c r="I20" s="20" t="s">
        <v>191</v>
      </c>
    </row>
    <row r="21" spans="1:9" x14ac:dyDescent="0.2">
      <c r="A21" s="23">
        <v>46212</v>
      </c>
      <c r="B21" s="11" t="s">
        <v>82</v>
      </c>
      <c r="C21" s="11" t="s">
        <v>192</v>
      </c>
      <c r="D21" s="11" t="s">
        <v>193</v>
      </c>
      <c r="E21" s="13">
        <v>87.7</v>
      </c>
      <c r="F21" s="13">
        <v>1.3</v>
      </c>
      <c r="G21" s="14">
        <v>9.8000000000000004E-2</v>
      </c>
      <c r="H21" s="21"/>
      <c r="I21" s="21" t="s">
        <v>194</v>
      </c>
    </row>
    <row r="22" spans="1:9" x14ac:dyDescent="0.2">
      <c r="A22" s="22">
        <v>46218</v>
      </c>
      <c r="B22" s="2" t="s">
        <v>58</v>
      </c>
      <c r="C22" s="2" t="s">
        <v>151</v>
      </c>
      <c r="D22" s="2" t="s">
        <v>195</v>
      </c>
      <c r="E22" s="4">
        <v>140</v>
      </c>
      <c r="F22" s="20">
        <v>1</v>
      </c>
      <c r="G22" s="5">
        <v>7.9000000000000001E-2</v>
      </c>
      <c r="H22" s="20"/>
      <c r="I22" s="20" t="s">
        <v>196</v>
      </c>
    </row>
    <row r="23" spans="1:9" x14ac:dyDescent="0.2">
      <c r="A23" s="23">
        <v>46223</v>
      </c>
      <c r="B23" s="11" t="s">
        <v>89</v>
      </c>
      <c r="C23" s="11" t="s">
        <v>165</v>
      </c>
      <c r="D23" s="11" t="s">
        <v>197</v>
      </c>
      <c r="E23" s="13"/>
      <c r="F23" s="13">
        <v>0.4</v>
      </c>
      <c r="G23" s="14"/>
      <c r="H23" s="21"/>
      <c r="I23" s="21" t="s">
        <v>171</v>
      </c>
    </row>
    <row r="24" spans="1:9" x14ac:dyDescent="0.2">
      <c r="A24" s="22">
        <v>46226</v>
      </c>
      <c r="B24" s="2" t="s">
        <v>25</v>
      </c>
      <c r="C24" s="2" t="s">
        <v>176</v>
      </c>
      <c r="D24" s="2" t="s">
        <v>177</v>
      </c>
      <c r="E24" s="4">
        <v>78</v>
      </c>
      <c r="F24" s="20"/>
      <c r="G24" s="5"/>
      <c r="H24" s="20"/>
      <c r="I24" s="20" t="s">
        <v>178</v>
      </c>
    </row>
    <row r="25" spans="1:9" x14ac:dyDescent="0.2">
      <c r="A25" s="23">
        <v>46232</v>
      </c>
      <c r="B25" s="11" t="s">
        <v>45</v>
      </c>
      <c r="C25" s="11" t="s">
        <v>198</v>
      </c>
      <c r="D25" s="11" t="s">
        <v>199</v>
      </c>
      <c r="E25" s="13"/>
      <c r="F25" s="13"/>
      <c r="G25" s="14"/>
      <c r="H25" s="21">
        <v>1.4</v>
      </c>
      <c r="I25" s="21" t="s">
        <v>200</v>
      </c>
    </row>
    <row r="26" spans="1:9" x14ac:dyDescent="0.2">
      <c r="A26" s="22">
        <v>46237</v>
      </c>
      <c r="B26" s="2" t="s">
        <v>115</v>
      </c>
      <c r="C26" s="2" t="s">
        <v>151</v>
      </c>
      <c r="D26" s="2" t="s">
        <v>201</v>
      </c>
      <c r="E26" s="4">
        <v>72</v>
      </c>
      <c r="F26" s="20">
        <v>1.7</v>
      </c>
      <c r="G26" s="5">
        <v>0.124</v>
      </c>
      <c r="H26" s="20"/>
      <c r="I26" s="20" t="s">
        <v>202</v>
      </c>
    </row>
    <row r="27" spans="1:9" x14ac:dyDescent="0.2">
      <c r="A27" s="23">
        <v>46241</v>
      </c>
      <c r="B27" s="11" t="s">
        <v>135</v>
      </c>
      <c r="C27" s="11" t="s">
        <v>151</v>
      </c>
      <c r="D27" s="11" t="s">
        <v>203</v>
      </c>
      <c r="E27" s="13">
        <v>30</v>
      </c>
      <c r="F27" s="13"/>
      <c r="G27" s="14">
        <v>6.6000000000000003E-2</v>
      </c>
      <c r="H27" s="21"/>
      <c r="I27" s="21" t="s">
        <v>204</v>
      </c>
    </row>
    <row r="28" spans="1:9" x14ac:dyDescent="0.2">
      <c r="A28" s="22">
        <v>46244</v>
      </c>
      <c r="B28" s="2" t="s">
        <v>139</v>
      </c>
      <c r="C28" s="2" t="s">
        <v>189</v>
      </c>
      <c r="D28" s="2" t="s">
        <v>205</v>
      </c>
      <c r="E28" s="4"/>
      <c r="F28" s="20"/>
      <c r="G28" s="5">
        <v>0.13400000000000001</v>
      </c>
      <c r="H28" s="20"/>
      <c r="I28" s="20" t="s">
        <v>206</v>
      </c>
    </row>
    <row r="29" spans="1:9" x14ac:dyDescent="0.2">
      <c r="A29" s="23">
        <v>46248</v>
      </c>
      <c r="B29" s="11" t="s">
        <v>75</v>
      </c>
      <c r="C29" s="11" t="s">
        <v>159</v>
      </c>
      <c r="D29" s="11" t="s">
        <v>207</v>
      </c>
      <c r="E29" s="13">
        <v>210</v>
      </c>
      <c r="F29" s="13"/>
      <c r="G29" s="14">
        <v>0</v>
      </c>
      <c r="H29" s="21">
        <v>12.4</v>
      </c>
      <c r="I29" s="21" t="s">
        <v>208</v>
      </c>
    </row>
    <row r="30" spans="1:9" x14ac:dyDescent="0.2">
      <c r="A30" s="22">
        <v>46252</v>
      </c>
      <c r="B30" s="2" t="s">
        <v>119</v>
      </c>
      <c r="C30" s="2" t="s">
        <v>151</v>
      </c>
      <c r="D30" s="2" t="s">
        <v>209</v>
      </c>
      <c r="E30" s="4">
        <v>47</v>
      </c>
      <c r="F30" s="20">
        <v>0.4</v>
      </c>
      <c r="G30" s="5">
        <v>8.7999999999999995E-2</v>
      </c>
      <c r="H30" s="20"/>
      <c r="I30" s="20" t="s">
        <v>210</v>
      </c>
    </row>
    <row r="31" spans="1:9" x14ac:dyDescent="0.2">
      <c r="A31" s="23">
        <v>46255</v>
      </c>
      <c r="B31" s="11" t="s">
        <v>130</v>
      </c>
      <c r="C31" s="11" t="s">
        <v>162</v>
      </c>
      <c r="D31" s="11" t="s">
        <v>211</v>
      </c>
      <c r="E31" s="13">
        <v>639</v>
      </c>
      <c r="F31" s="13"/>
      <c r="G31" s="14">
        <v>3.5000000000000003E-2</v>
      </c>
      <c r="H31" s="21">
        <v>14.7</v>
      </c>
      <c r="I31" s="21" t="s">
        <v>212</v>
      </c>
    </row>
    <row r="32" spans="1:9" x14ac:dyDescent="0.2">
      <c r="A32" s="22">
        <v>46259</v>
      </c>
      <c r="B32" s="2" t="s">
        <v>125</v>
      </c>
      <c r="C32" s="2" t="s">
        <v>213</v>
      </c>
      <c r="D32" s="2" t="s">
        <v>214</v>
      </c>
      <c r="E32" s="4"/>
      <c r="F32" s="20"/>
      <c r="G32" s="5">
        <v>3.7999999999999999E-2</v>
      </c>
      <c r="H32" s="20">
        <v>0.5</v>
      </c>
      <c r="I32" s="20" t="s">
        <v>215</v>
      </c>
    </row>
    <row r="33" spans="1:9" x14ac:dyDescent="0.2">
      <c r="A33" s="23">
        <v>46265</v>
      </c>
      <c r="B33" s="11" t="s">
        <v>127</v>
      </c>
      <c r="C33" s="11" t="s">
        <v>151</v>
      </c>
      <c r="D33" s="11" t="s">
        <v>30</v>
      </c>
      <c r="E33" s="13">
        <v>130</v>
      </c>
      <c r="F33" s="13">
        <v>2</v>
      </c>
      <c r="G33" s="14">
        <v>7.9000000000000001E-2</v>
      </c>
      <c r="H33" s="21"/>
      <c r="I33" s="21" t="s">
        <v>216</v>
      </c>
    </row>
    <row r="34" spans="1:9" x14ac:dyDescent="0.2">
      <c r="A34" s="22">
        <v>46268</v>
      </c>
      <c r="B34" s="2" t="s">
        <v>111</v>
      </c>
      <c r="C34" s="2" t="s">
        <v>217</v>
      </c>
      <c r="D34" s="2" t="s">
        <v>218</v>
      </c>
      <c r="E34" s="4"/>
      <c r="F34" s="20"/>
      <c r="G34" s="5">
        <v>9.4E-2</v>
      </c>
      <c r="H34" s="20"/>
      <c r="I34" s="20" t="s">
        <v>219</v>
      </c>
    </row>
    <row r="35" spans="1:9" x14ac:dyDescent="0.2">
      <c r="A35" s="23">
        <v>46275</v>
      </c>
      <c r="B35" s="11" t="s">
        <v>133</v>
      </c>
      <c r="C35" s="11" t="s">
        <v>182</v>
      </c>
      <c r="D35" s="11" t="s">
        <v>220</v>
      </c>
      <c r="E35" s="13">
        <v>190</v>
      </c>
      <c r="F35" s="13"/>
      <c r="G35" s="14"/>
      <c r="H35" s="21"/>
      <c r="I35" s="21" t="s">
        <v>221</v>
      </c>
    </row>
    <row r="36" spans="1:9" x14ac:dyDescent="0.2">
      <c r="A36" s="22">
        <v>46280</v>
      </c>
      <c r="B36" s="2" t="s">
        <v>132</v>
      </c>
      <c r="C36" s="2" t="s">
        <v>222</v>
      </c>
      <c r="D36" s="2" t="s">
        <v>223</v>
      </c>
      <c r="E36" s="4">
        <v>6400</v>
      </c>
      <c r="F36" s="20"/>
      <c r="G36" s="5">
        <v>1.2E-2</v>
      </c>
      <c r="H36" s="20"/>
      <c r="I36" s="20" t="s">
        <v>224</v>
      </c>
    </row>
    <row r="37" spans="1:9" x14ac:dyDescent="0.2">
      <c r="A37" s="23">
        <v>46283</v>
      </c>
      <c r="B37" s="11" t="s">
        <v>118</v>
      </c>
      <c r="C37" s="11" t="s">
        <v>159</v>
      </c>
      <c r="D37" s="11" t="s">
        <v>225</v>
      </c>
      <c r="E37" s="13">
        <v>128</v>
      </c>
      <c r="F37" s="13"/>
      <c r="G37" s="14"/>
      <c r="H37" s="21"/>
      <c r="I37" s="21" t="s">
        <v>226</v>
      </c>
    </row>
    <row r="38" spans="1:9" x14ac:dyDescent="0.2">
      <c r="A38" s="22">
        <v>46289</v>
      </c>
      <c r="B38" s="2" t="s">
        <v>129</v>
      </c>
      <c r="C38" s="2" t="s">
        <v>227</v>
      </c>
      <c r="D38" s="2" t="s">
        <v>228</v>
      </c>
      <c r="E38" s="4">
        <v>240</v>
      </c>
      <c r="F38" s="20"/>
      <c r="G38" s="5">
        <v>3.1E-2</v>
      </c>
      <c r="H38" s="20"/>
      <c r="I38" s="20" t="s">
        <v>229</v>
      </c>
    </row>
    <row r="39" spans="1:9" x14ac:dyDescent="0.2">
      <c r="A39" s="23">
        <v>46294</v>
      </c>
      <c r="B39" s="11" t="s">
        <v>114</v>
      </c>
      <c r="C39" s="11" t="s">
        <v>185</v>
      </c>
      <c r="D39" s="11" t="s">
        <v>230</v>
      </c>
      <c r="E39" s="13">
        <v>1800</v>
      </c>
      <c r="F39" s="13"/>
      <c r="G39" s="14">
        <v>1.2E-2</v>
      </c>
      <c r="H39" s="21"/>
      <c r="I39" s="21" t="s">
        <v>231</v>
      </c>
    </row>
  </sheetData>
  <autoFilter ref="A1:I19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2" width="110" customWidth="1"/>
  </cols>
  <sheetData>
    <row r="1" spans="1:2" ht="15" customHeight="1" x14ac:dyDescent="0.2">
      <c r="A1" s="24" t="s">
        <v>232</v>
      </c>
      <c r="B1" s="25" t="s">
        <v>233</v>
      </c>
    </row>
    <row r="2" spans="1:2" ht="15" customHeight="1" x14ac:dyDescent="0.2">
      <c r="A2" s="24" t="s">
        <v>234</v>
      </c>
      <c r="B2" s="26"/>
    </row>
    <row r="3" spans="1:2" ht="15" customHeight="1" x14ac:dyDescent="0.2">
      <c r="A3" s="27" t="s">
        <v>0</v>
      </c>
      <c r="B3" s="26" t="s">
        <v>235</v>
      </c>
    </row>
    <row r="4" spans="1:2" ht="15" customHeight="1" x14ac:dyDescent="0.2">
      <c r="A4" s="27" t="s">
        <v>1</v>
      </c>
      <c r="B4" s="26" t="s">
        <v>236</v>
      </c>
    </row>
    <row r="5" spans="1:2" ht="15" customHeight="1" x14ac:dyDescent="0.2">
      <c r="A5" s="27" t="s">
        <v>2</v>
      </c>
      <c r="B5" s="26" t="s">
        <v>237</v>
      </c>
    </row>
    <row r="6" spans="1:2" ht="15" customHeight="1" x14ac:dyDescent="0.2">
      <c r="A6" s="27" t="s">
        <v>3</v>
      </c>
      <c r="B6" s="26" t="s">
        <v>238</v>
      </c>
    </row>
    <row r="7" spans="1:2" ht="15" customHeight="1" x14ac:dyDescent="0.2">
      <c r="A7" s="27" t="s">
        <v>4</v>
      </c>
      <c r="B7" s="26" t="s">
        <v>239</v>
      </c>
    </row>
    <row r="8" spans="1:2" ht="15" customHeight="1" x14ac:dyDescent="0.2">
      <c r="A8" s="27" t="s">
        <v>5</v>
      </c>
      <c r="B8" s="26" t="s">
        <v>240</v>
      </c>
    </row>
    <row r="9" spans="1:2" ht="15" customHeight="1" x14ac:dyDescent="0.2">
      <c r="A9" s="27" t="s">
        <v>6</v>
      </c>
      <c r="B9" s="26" t="s">
        <v>241</v>
      </c>
    </row>
    <row r="10" spans="1:2" ht="15" customHeight="1" x14ac:dyDescent="0.2">
      <c r="A10" s="27" t="s">
        <v>7</v>
      </c>
      <c r="B10" s="26" t="s">
        <v>242</v>
      </c>
    </row>
    <row r="11" spans="1:2" ht="15" customHeight="1" x14ac:dyDescent="0.2">
      <c r="A11" s="27" t="s">
        <v>8</v>
      </c>
      <c r="B11" s="26" t="s">
        <v>243</v>
      </c>
    </row>
    <row r="12" spans="1:2" ht="15" customHeight="1" x14ac:dyDescent="0.2">
      <c r="A12" s="27" t="s">
        <v>9</v>
      </c>
      <c r="B12" s="26" t="s">
        <v>244</v>
      </c>
    </row>
    <row r="13" spans="1:2" ht="15" customHeight="1" x14ac:dyDescent="0.2">
      <c r="A13" s="27" t="s">
        <v>10</v>
      </c>
      <c r="B13" s="26" t="s">
        <v>245</v>
      </c>
    </row>
    <row r="14" spans="1:2" ht="15" customHeight="1" x14ac:dyDescent="0.2">
      <c r="A14" s="27" t="s">
        <v>11</v>
      </c>
      <c r="B14" s="26" t="s">
        <v>246</v>
      </c>
    </row>
    <row r="15" spans="1:2" ht="15" customHeight="1" x14ac:dyDescent="0.2">
      <c r="A15" s="27" t="s">
        <v>12</v>
      </c>
      <c r="B15" s="26" t="s">
        <v>247</v>
      </c>
    </row>
    <row r="16" spans="1:2" ht="15" customHeight="1" x14ac:dyDescent="0.2">
      <c r="A16" s="27" t="s">
        <v>13</v>
      </c>
      <c r="B16" s="26" t="s">
        <v>248</v>
      </c>
    </row>
    <row r="17" spans="1:2" ht="15" customHeight="1" x14ac:dyDescent="0.2">
      <c r="A17" s="27" t="s">
        <v>14</v>
      </c>
      <c r="B17" s="26" t="s">
        <v>249</v>
      </c>
    </row>
    <row r="18" spans="1:2" ht="15" customHeight="1" x14ac:dyDescent="0.2">
      <c r="A18" s="27" t="s">
        <v>15</v>
      </c>
      <c r="B18" s="26" t="s">
        <v>250</v>
      </c>
    </row>
    <row r="19" spans="1:2" ht="15" customHeight="1" x14ac:dyDescent="0.2">
      <c r="A19" s="27" t="s">
        <v>16</v>
      </c>
      <c r="B19" s="26" t="s">
        <v>251</v>
      </c>
    </row>
    <row r="20" spans="1:2" ht="15" customHeight="1" x14ac:dyDescent="0.2">
      <c r="A20" s="27" t="s">
        <v>17</v>
      </c>
      <c r="B20" s="26" t="s">
        <v>252</v>
      </c>
    </row>
    <row r="21" spans="1:2" ht="15" customHeight="1" x14ac:dyDescent="0.2">
      <c r="A21" s="27" t="s">
        <v>18</v>
      </c>
      <c r="B21" s="26" t="s">
        <v>253</v>
      </c>
    </row>
    <row r="22" spans="1:2" ht="15" customHeight="1" x14ac:dyDescent="0.2">
      <c r="A22" s="27" t="s">
        <v>19</v>
      </c>
      <c r="B22" s="26" t="s">
        <v>254</v>
      </c>
    </row>
    <row r="23" spans="1:2" ht="15" customHeight="1" x14ac:dyDescent="0.2">
      <c r="A23" s="27"/>
      <c r="B23" s="26"/>
    </row>
    <row r="24" spans="1:2" ht="15" customHeight="1" x14ac:dyDescent="0.2">
      <c r="A24" s="24" t="s">
        <v>255</v>
      </c>
      <c r="B24" s="26"/>
    </row>
    <row r="25" spans="1:2" ht="15" customHeight="1" x14ac:dyDescent="0.2">
      <c r="A25" s="27" t="s">
        <v>143</v>
      </c>
      <c r="B25" s="26" t="s">
        <v>256</v>
      </c>
    </row>
    <row r="26" spans="1:2" ht="23.25" customHeight="1" x14ac:dyDescent="0.2">
      <c r="A26" s="27" t="s">
        <v>144</v>
      </c>
      <c r="B26" s="26" t="s">
        <v>257</v>
      </c>
    </row>
    <row r="27" spans="1:2" ht="15" customHeight="1" x14ac:dyDescent="0.2">
      <c r="A27" s="27" t="s">
        <v>145</v>
      </c>
      <c r="B27" s="26" t="s">
        <v>258</v>
      </c>
    </row>
    <row r="28" spans="1:2" ht="23.25" customHeight="1" x14ac:dyDescent="0.2">
      <c r="A28" s="27" t="s">
        <v>146</v>
      </c>
      <c r="B28" s="26" t="s">
        <v>259</v>
      </c>
    </row>
    <row r="29" spans="1:2" ht="15" customHeight="1" x14ac:dyDescent="0.2">
      <c r="A29" s="27" t="s">
        <v>147</v>
      </c>
      <c r="B29" s="26" t="s">
        <v>260</v>
      </c>
    </row>
    <row r="30" spans="1:2" ht="15" customHeight="1" x14ac:dyDescent="0.2">
      <c r="A30" s="27" t="s">
        <v>148</v>
      </c>
      <c r="B30" s="26" t="s">
        <v>261</v>
      </c>
    </row>
    <row r="31" spans="1:2" ht="15" customHeight="1" x14ac:dyDescent="0.2">
      <c r="A31" s="27" t="s">
        <v>149</v>
      </c>
      <c r="B31" s="26" t="s">
        <v>262</v>
      </c>
    </row>
    <row r="32" spans="1:2" ht="15" customHeight="1" x14ac:dyDescent="0.2">
      <c r="A32" s="24" t="s">
        <v>150</v>
      </c>
      <c r="B32" s="26" t="s">
        <v>263</v>
      </c>
    </row>
    <row r="33" spans="1:2" ht="15" customHeight="1" x14ac:dyDescent="0.2">
      <c r="A33" s="27"/>
      <c r="B33" s="26"/>
    </row>
    <row r="34" spans="1:2" ht="15" customHeight="1" x14ac:dyDescent="0.2">
      <c r="A34" s="24" t="s">
        <v>150</v>
      </c>
      <c r="B34" s="26"/>
    </row>
    <row r="35" spans="1:2" ht="23.25" customHeight="1" x14ac:dyDescent="0.2">
      <c r="A35" s="27" t="s">
        <v>264</v>
      </c>
      <c r="B35" s="26" t="s">
        <v>265</v>
      </c>
    </row>
    <row r="36" spans="1:2" ht="23.25" customHeight="1" x14ac:dyDescent="0.2">
      <c r="A36" s="27" t="s">
        <v>266</v>
      </c>
      <c r="B36" s="26" t="s">
        <v>267</v>
      </c>
    </row>
    <row r="37" spans="1:2" ht="23.25" customHeight="1" x14ac:dyDescent="0.2">
      <c r="A37" s="27" t="s">
        <v>268</v>
      </c>
      <c r="B37" s="26" t="s">
        <v>269</v>
      </c>
    </row>
    <row r="38" spans="1:2" ht="15" customHeight="1" x14ac:dyDescent="0.2">
      <c r="A38" s="27" t="s">
        <v>270</v>
      </c>
      <c r="B38" s="26" t="s">
        <v>271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Portfolio</vt:lpstr>
      <vt:lpstr>Q3 2026 Activity</vt:lpstr>
      <vt:lpstr>Field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Jackson Lagerwey</cp:lastModifiedBy>
  <cp:revision>0</cp:revision>
  <dcterms:created xsi:type="dcterms:W3CDTF">2026-09-03T01:18:26Z</dcterms:created>
  <dcterms:modified xsi:type="dcterms:W3CDTF">2026-09-08T20:25:38Z</dcterms:modified>
  <dc:language>en-US</dc:language>
</cp:coreProperties>
</file>