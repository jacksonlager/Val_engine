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2 2027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C</t>
        </is>
      </c>
      <c r="E2" t="inlineStr">
        <is>
          <t>Active</t>
        </is>
      </c>
      <c r="F2" s="12" t="n">
        <v>43834</v>
      </c>
      <c r="G2" s="12" t="n">
        <v>46448</v>
      </c>
      <c r="H2" s="13" t="n">
        <v>110</v>
      </c>
      <c r="I2" s="13" t="n">
        <v>7</v>
      </c>
      <c r="J2" s="14" t="n">
        <v>0.104</v>
      </c>
      <c r="K2" s="13" t="n">
        <v>11.44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Shut Down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0</v>
      </c>
      <c r="L3" s="13" t="n">
        <v>0.2</v>
      </c>
      <c r="M3" s="15">
        <f>(K3+L3)/I3</f>
        <v/>
      </c>
      <c r="N3" s="13" t="n"/>
      <c r="O3" s="6" t="n"/>
      <c r="P3" s="6" t="n"/>
      <c r="Q3" s="16" t="n"/>
      <c r="R3" s="13" t="n"/>
      <c r="S3" s="17">
        <f>IF(AND(ISNUMBER(Q3),Q3&gt;0),R3/Q3,"-")</f>
        <v/>
      </c>
      <c r="T3" s="9" t="n"/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29.7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Series A</t>
        </is>
      </c>
      <c r="E6" t="inlineStr">
        <is>
          <t>Active</t>
        </is>
      </c>
      <c r="F6" s="12" t="n">
        <v>45681</v>
      </c>
      <c r="G6" s="12" t="n">
        <v>46309</v>
      </c>
      <c r="H6" s="13" t="n">
        <v>40</v>
      </c>
      <c r="I6" s="13" t="n">
        <v>2.5</v>
      </c>
      <c r="J6" s="14" t="n">
        <v>0.065</v>
      </c>
      <c r="K6" s="13" t="n">
        <v>2.6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Public</t>
        </is>
      </c>
      <c r="E7" t="inlineStr">
        <is>
          <t>Active</t>
        </is>
      </c>
      <c r="F7" s="12" t="n">
        <v>43876</v>
      </c>
      <c r="G7" s="12" t="n">
        <v>46395</v>
      </c>
      <c r="H7" s="13" t="n">
        <v>2400</v>
      </c>
      <c r="I7" s="13" t="n">
        <v>10.3</v>
      </c>
      <c r="J7" s="14" t="n">
        <v>0.03</v>
      </c>
      <c r="K7" s="13" t="n">
        <v>66</v>
      </c>
      <c r="L7" s="13" t="n">
        <v>19.298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Acquired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0</v>
      </c>
      <c r="L8" s="13" t="n">
        <v>4.788</v>
      </c>
      <c r="M8" s="15">
        <f>(K8+L8)/I8</f>
        <v/>
      </c>
      <c r="N8" s="13" t="n"/>
      <c r="O8" s="6" t="n"/>
      <c r="P8" s="6" t="n"/>
      <c r="Q8" s="16" t="n"/>
      <c r="R8" s="13" t="n"/>
      <c r="S8" s="17">
        <f>IF(AND(ISNUMBER(Q8),Q8&gt;0),R8/Q8,"-")</f>
        <v/>
      </c>
      <c r="T8" s="9" t="n"/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Acquired (stock)</t>
        </is>
      </c>
      <c r="E9" t="inlineStr">
        <is>
          <t>Active</t>
        </is>
      </c>
      <c r="F9" s="12" t="n">
        <v>43666</v>
      </c>
      <c r="G9" s="12" t="n">
        <v>46407</v>
      </c>
      <c r="H9" s="13" t="n">
        <v>65</v>
      </c>
      <c r="I9" s="13" t="n">
        <v>2</v>
      </c>
      <c r="J9" s="14" t="n">
        <v>0.07099999999999999</v>
      </c>
      <c r="K9" s="13" t="n">
        <v>4.615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</v>
      </c>
      <c r="K10" s="13" t="n">
        <v>22.926</v>
      </c>
      <c r="L10" s="13" t="n">
        <v>6.4254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9.468299999999999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Series A</t>
        </is>
      </c>
      <c r="E13" t="inlineStr">
        <is>
          <t>Active</t>
        </is>
      </c>
      <c r="F13" s="12" t="n">
        <v>46096</v>
      </c>
      <c r="G13" s="12" t="n">
        <v>46451</v>
      </c>
      <c r="H13" s="13" t="n">
        <v>13</v>
      </c>
      <c r="I13" s="13" t="n">
        <v>0.5</v>
      </c>
      <c r="J13" s="14" t="n">
        <v>0.08500000000000001</v>
      </c>
      <c r="K13" s="13" t="n">
        <v>1.105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10.5</v>
      </c>
      <c r="J14" s="14" t="n">
        <v>0.019</v>
      </c>
      <c r="K14" s="13" t="n">
        <v>9.804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Active</t>
        </is>
      </c>
      <c r="F15" s="12" t="n">
        <v>44962</v>
      </c>
      <c r="G15" s="12" t="n">
        <v>46371</v>
      </c>
      <c r="H15" s="13" t="n">
        <v>70</v>
      </c>
      <c r="I15" s="13" t="n">
        <v>2.7</v>
      </c>
      <c r="J15" s="14" t="n">
        <v>0.077</v>
      </c>
      <c r="K15" s="13" t="n">
        <v>5.39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44477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B</t>
        </is>
      </c>
      <c r="E20" t="inlineStr">
        <is>
          <t>Active</t>
        </is>
      </c>
      <c r="F20" s="12" t="n">
        <v>45096</v>
      </c>
      <c r="G20" s="12" t="n">
        <v>46366</v>
      </c>
      <c r="H20" s="13" t="n">
        <v>150</v>
      </c>
      <c r="I20" s="13" t="n">
        <v>6.75</v>
      </c>
      <c r="J20" s="14" t="n">
        <v>0.128</v>
      </c>
      <c r="K20" s="13" t="n">
        <v>19.2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46432</v>
      </c>
      <c r="H21" s="13" t="n">
        <v>9</v>
      </c>
      <c r="I21" s="13" t="n">
        <v>1.5</v>
      </c>
      <c r="J21" s="14" t="n">
        <v>0.095</v>
      </c>
      <c r="K21" s="13" t="n">
        <v>0.855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C</t>
        </is>
      </c>
      <c r="E22" t="inlineStr">
        <is>
          <t>Active</t>
        </is>
      </c>
      <c r="F22" s="12" t="n">
        <v>44499</v>
      </c>
      <c r="G22" s="12" t="n">
        <v>46336</v>
      </c>
      <c r="H22" s="13" t="n">
        <v>180</v>
      </c>
      <c r="I22" s="13" t="n">
        <v>10</v>
      </c>
      <c r="J22" s="14" t="n">
        <v>0.075</v>
      </c>
      <c r="K22" s="13" t="n">
        <v>0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Shut Down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0</v>
      </c>
      <c r="L24" s="13" t="n">
        <v>14</v>
      </c>
      <c r="M24" s="15">
        <f>(K24+L24)/I24</f>
        <v/>
      </c>
      <c r="N24" s="13" t="n"/>
      <c r="O24" s="6" t="n"/>
      <c r="P24" s="6" t="n"/>
      <c r="Q24" s="16" t="n"/>
      <c r="R24" s="13" t="n"/>
      <c r="S24" s="17">
        <f>IF(AND(ISNUMBER(Q24),Q24&gt;0),R24/Q24,"-")</f>
        <v/>
      </c>
      <c r="T24" s="9" t="n"/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12" t="n">
        <v>45336</v>
      </c>
      <c r="G27" s="12" t="n">
        <v>46455</v>
      </c>
      <c r="H27" s="13" t="n">
        <v>30</v>
      </c>
      <c r="I27" s="13" t="n">
        <v>2.5</v>
      </c>
      <c r="J27" s="14" t="n">
        <v>0.13</v>
      </c>
      <c r="K27" s="13" t="n">
        <v>3.9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Acquired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0</v>
      </c>
      <c r="L28" s="13" t="n">
        <v>11.52</v>
      </c>
      <c r="M28" s="15">
        <f>(K28+L28)/I28</f>
        <v/>
      </c>
      <c r="N28" s="13" t="n"/>
      <c r="O28" s="6" t="n"/>
      <c r="P28" s="6" t="n"/>
      <c r="Q28" s="16" t="n"/>
      <c r="R28" s="13" t="n"/>
      <c r="S28" s="17">
        <f>IF(AND(ISNUMBER(Q28),Q28&gt;0),R28/Q28,"-")</f>
        <v/>
      </c>
      <c r="T28" s="9" t="n"/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46477</v>
      </c>
      <c r="H31" s="13" t="n">
        <v>3931</v>
      </c>
      <c r="I31" s="13" t="n">
        <v>20</v>
      </c>
      <c r="J31" s="14" t="n">
        <v>0.028</v>
      </c>
      <c r="K31" s="13" t="n">
        <v>109.2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</v>
      </c>
      <c r="R37" s="13" t="n">
        <v>2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7.2791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B</t>
        </is>
      </c>
      <c r="E45" t="inlineStr">
        <is>
          <t>Active</t>
        </is>
      </c>
      <c r="F45" s="12" t="n">
        <v>44423</v>
      </c>
      <c r="G45" s="12" t="n">
        <v>46461</v>
      </c>
      <c r="H45" s="13" t="n">
        <v>40</v>
      </c>
      <c r="I45" s="13" t="n">
        <v>4.4</v>
      </c>
      <c r="J45" s="14" t="n">
        <v>0.1075</v>
      </c>
      <c r="K45" s="13" t="n">
        <v>4.3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Shut Down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0</v>
      </c>
      <c r="L48" s="13" t="n">
        <v>0</v>
      </c>
      <c r="M48" s="15">
        <f>(K48+L48)/I48</f>
        <v/>
      </c>
      <c r="N48" s="13" t="n"/>
      <c r="O48" s="6" t="n"/>
      <c r="P48" s="6" t="n"/>
      <c r="Q48" s="16" t="n"/>
      <c r="R48" s="13" t="n"/>
      <c r="S48" s="17">
        <f>IF(AND(ISNUMBER(Q48),Q48&gt;0),R48/Q48,"-")</f>
        <v/>
      </c>
      <c r="T48" s="9" t="n"/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2.3</v>
      </c>
      <c r="J51" s="14" t="n">
        <v>0.08400000000000001</v>
      </c>
      <c r="K51" s="13" t="n">
        <v>0.6</v>
      </c>
      <c r="L51" s="13" t="n">
        <v>0.31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-0.25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B</t>
        </is>
      </c>
      <c r="E56" t="inlineStr">
        <is>
          <t>Active</t>
        </is>
      </c>
      <c r="F56" s="12" t="n">
        <v>44566</v>
      </c>
      <c r="G56" s="12" t="n">
        <v>46315</v>
      </c>
      <c r="H56" s="13" t="n">
        <v>150</v>
      </c>
      <c r="I56" s="13" t="n">
        <v>7.1</v>
      </c>
      <c r="J56" s="14" t="n">
        <v>0.089</v>
      </c>
      <c r="K56" s="13" t="n">
        <v>13.35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46428</v>
      </c>
      <c r="H58" s="13" t="n">
        <v>631.7</v>
      </c>
      <c r="I58" s="13" t="n">
        <v>4.5</v>
      </c>
      <c r="J58" s="14" t="n">
        <v>0.043</v>
      </c>
      <c r="K58" s="13" t="n">
        <v>27.1631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B</t>
        </is>
      </c>
      <c r="E63" t="inlineStr">
        <is>
          <t>Active</t>
        </is>
      </c>
      <c r="F63" s="12" t="n">
        <v>44713</v>
      </c>
      <c r="G63" s="12" t="n">
        <v>46368</v>
      </c>
      <c r="H63" s="13" t="n">
        <v>120</v>
      </c>
      <c r="I63" s="13" t="n">
        <v>3.2</v>
      </c>
      <c r="J63" s="14" t="n">
        <v>0.078</v>
      </c>
      <c r="K63" s="13" t="n">
        <v>9.359999999999999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4.245</v>
      </c>
      <c r="J65" s="14" t="n">
        <v>0.056</v>
      </c>
      <c r="K65" s="13" t="n">
        <v>6.86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0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Acquired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0</v>
      </c>
      <c r="L89" s="13" t="n">
        <v>0</v>
      </c>
      <c r="M89" s="15">
        <f>(K89+L89)/I89</f>
        <v/>
      </c>
      <c r="N89" s="13" t="n"/>
      <c r="O89" s="6" t="n"/>
      <c r="P89" s="6" t="n"/>
      <c r="Q89" s="16" t="n"/>
      <c r="R89" s="13" t="n"/>
      <c r="S89" s="17">
        <f>IF(AND(ISNUMBER(Q89),Q89&gt;0),R89/Q89,"-")</f>
        <v/>
      </c>
      <c r="T89" s="9" t="n"/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1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B</t>
        </is>
      </c>
      <c r="E100" t="inlineStr">
        <is>
          <t>Active</t>
        </is>
      </c>
      <c r="F100" s="12" t="n">
        <v>44637</v>
      </c>
      <c r="G100" s="12" t="n">
        <v>46364</v>
      </c>
      <c r="H100" s="13" t="n">
        <v>120</v>
      </c>
      <c r="I100" s="13" t="n">
        <v>3.7</v>
      </c>
      <c r="J100" s="14" t="n">
        <v>0.108</v>
      </c>
      <c r="K100" s="13" t="n">
        <v>12.96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Quillbrook Labs</t>
        </is>
      </c>
      <c r="B102" t="inlineStr">
        <is>
          <t>Cybersecurity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12" t="n">
        <v>46338</v>
      </c>
      <c r="G102" s="12" t="n">
        <v>46458</v>
      </c>
      <c r="H102" s="13" t="n">
        <v>40</v>
      </c>
      <c r="I102" s="13" t="n">
        <v>2.5</v>
      </c>
      <c r="J102" s="14" t="n">
        <v>0.108</v>
      </c>
      <c r="K102" s="13" t="n">
        <v>4.32</v>
      </c>
      <c r="L102" s="13" t="n">
        <v>0</v>
      </c>
      <c r="M102" s="15">
        <f>(K102+L102)/I102</f>
        <v/>
      </c>
      <c r="N102" s="13" t="n"/>
      <c r="O102" s="6" t="n"/>
      <c r="P102" s="6" t="n"/>
      <c r="Q102" s="16" t="n"/>
      <c r="R102" s="13" t="n"/>
      <c r="S102" s="17">
        <f>IF(AND(ISNUMBER(Q102),Q102&gt;0),R102/Q102,"-")</f>
        <v/>
      </c>
      <c r="T10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46483</v>
      </c>
      <c r="B2" t="inlineStr">
        <is>
          <t>Arcfoundry</t>
        </is>
      </c>
      <c r="C2" t="inlineStr">
        <is>
          <t>Distribution</t>
        </is>
      </c>
      <c r="D2" t="inlineStr">
        <is>
          <t>Holdback released</t>
        </is>
      </c>
      <c r="H2" t="n">
        <v>1.28</v>
      </c>
      <c r="I2" t="inlineStr">
        <is>
          <t>Holdback released on schedule.</t>
        </is>
      </c>
    </row>
    <row r="3">
      <c r="A3" s="18" t="n">
        <v>46487</v>
      </c>
      <c r="B3" t="inlineStr">
        <is>
          <t>Umberly</t>
        </is>
      </c>
      <c r="C3" t="inlineStr">
        <is>
          <t>Priced Equity Round</t>
        </is>
      </c>
      <c r="D3" t="inlineStr">
        <is>
          <t>Series C-1 (recap)</t>
        </is>
      </c>
      <c r="E3" t="inlineStr">
        <is>
          <t>€120.0M</t>
        </is>
      </c>
      <c r="G3" t="n">
        <v>0.03</v>
      </c>
      <c r="I3" t="inlineStr">
        <is>
          <t>Plan of reorganisation confirmed; new money from existing lenders. HC did not participate.</t>
        </is>
      </c>
    </row>
    <row r="4">
      <c r="A4" s="18" t="n">
        <v>46492</v>
      </c>
      <c r="B4" t="inlineStr">
        <is>
          <t>Pellagrin</t>
        </is>
      </c>
      <c r="C4" t="inlineStr">
        <is>
          <t>Priced Equity Round</t>
        </is>
      </c>
      <c r="D4" t="inlineStr">
        <is>
          <t>Series B extension (same terms)</t>
        </is>
      </c>
      <c r="E4" t="n">
        <v>176.3</v>
      </c>
      <c r="F4" t="n">
        <v>0.5</v>
      </c>
      <c r="G4" t="n">
        <v>0.082</v>
      </c>
      <c r="I4" t="inlineStr">
        <is>
          <t>Extension of the prior round at the same post-money.</t>
        </is>
      </c>
    </row>
    <row r="5">
      <c r="A5" s="18" t="n">
        <v>46512</v>
      </c>
      <c r="B5" t="inlineStr">
        <is>
          <t>Nimbrel</t>
        </is>
      </c>
      <c r="C5" t="inlineStr">
        <is>
          <t>Secondary Sale</t>
        </is>
      </c>
      <c r="D5" t="inlineStr">
        <is>
          <t>HC sold 40% of its position</t>
        </is>
      </c>
      <c r="E5" t="n">
        <v>70</v>
      </c>
      <c r="G5" t="n">
        <v>0.0462</v>
      </c>
      <c r="H5" t="n">
        <v>2.156</v>
      </c>
      <c r="I5" t="inlineStr">
        <is>
          <t>Buyer paid the Series B price.</t>
        </is>
      </c>
    </row>
    <row r="6">
      <c r="A6" s="18" t="n">
        <v>46519</v>
      </c>
      <c r="B6" t="inlineStr">
        <is>
          <t>Elmsworth Data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900</v>
      </c>
      <c r="I6" t="inlineStr">
        <is>
          <t>Expected to close in Q3 2027. No cash received.</t>
        </is>
      </c>
    </row>
    <row r="7">
      <c r="A7" s="18" t="n">
        <v>46525</v>
      </c>
      <c r="B7" t="inlineStr">
        <is>
          <t>Gorseline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0.09</v>
      </c>
      <c r="I7" t="inlineStr">
        <is>
          <t>$20.0M round led by a new investor. HC did not participate.</t>
        </is>
      </c>
    </row>
    <row r="8">
      <c r="A8" s="18" t="n">
        <v>46532</v>
      </c>
      <c r="B8" t="inlineStr">
        <is>
          <t>Kestwick</t>
        </is>
      </c>
      <c r="C8" t="inlineStr">
        <is>
          <t>Shutdown</t>
        </is>
      </c>
      <c r="D8" t="inlineStr">
        <is>
          <t>Ceased operations</t>
        </is>
      </c>
      <c r="I8" t="inlineStr">
        <is>
          <t>Board voted to wind down. No recovery expected.</t>
        </is>
      </c>
    </row>
    <row r="9">
      <c r="A9" s="18" t="n">
        <v>46539</v>
      </c>
      <c r="B9" t="inlineStr">
        <is>
          <t>Tidewell Health</t>
        </is>
      </c>
      <c r="C9" t="inlineStr">
        <is>
          <t>Convertible Note</t>
        </is>
      </c>
      <c r="D9" t="inlineStr">
        <is>
          <t>$2.0M bridge note, $20.0M valuation cap</t>
        </is>
      </c>
      <c r="I9" t="inlineStr">
        <is>
          <t>Uncapped interest, converts at next priced round. HC did not participate.</t>
        </is>
      </c>
    </row>
    <row r="10">
      <c r="A10" s="18" t="n">
        <v>46546</v>
      </c>
      <c r="B10" t="inlineStr">
        <is>
          <t>Mardellan</t>
        </is>
      </c>
      <c r="C10" t="inlineStr">
        <is>
          <t>Secondary Sale</t>
        </is>
      </c>
      <c r="D10" t="inlineStr">
        <is>
          <t>HC sold 50% of its position</t>
        </is>
      </c>
      <c r="E10" t="n">
        <v>5000</v>
      </c>
      <c r="G10" t="n">
        <v>0.006</v>
      </c>
      <c r="H10" t="n">
        <v>30</v>
      </c>
      <c r="I10" t="inlineStr">
        <is>
          <t>Buyer paid 12% below the Series D+ price.</t>
        </is>
      </c>
    </row>
    <row r="11">
      <c r="A11" s="18" t="n">
        <v>46553</v>
      </c>
      <c r="B11" t="inlineStr">
        <is>
          <t>Thornmill Systems</t>
        </is>
      </c>
      <c r="C11" t="inlineStr">
        <is>
          <t>Direct Listing</t>
        </is>
      </c>
      <c r="D11" t="inlineStr">
        <is>
          <t>Listed on Nasdaq</t>
        </is>
      </c>
      <c r="E11" t="n">
        <v>2500</v>
      </c>
      <c r="G11" t="n">
        <v>0.013</v>
      </c>
      <c r="I11" t="inlineStr">
        <is>
          <t>Direct listing; no lock-up.</t>
        </is>
      </c>
    </row>
    <row r="12">
      <c r="A12" s="18" t="n">
        <v>46558</v>
      </c>
      <c r="B12" t="inlineStr">
        <is>
          <t>Elmsworth Data</t>
        </is>
      </c>
      <c r="C12" t="inlineStr">
        <is>
          <t>Acquisition (Closed)</t>
        </is>
      </c>
      <c r="D12" t="inlineStr">
        <is>
          <t>All-cash acquisition</t>
        </is>
      </c>
      <c r="E12" t="n">
        <v>900</v>
      </c>
      <c r="H12" t="n">
        <v>34.2</v>
      </c>
      <c r="I12" t="inlineStr">
        <is>
          <t>Closed ahead of schedule; cash received in full.</t>
        </is>
      </c>
    </row>
    <row r="13">
      <c r="A13" s="18" t="n">
        <v>46560</v>
      </c>
      <c r="B13" t="inlineStr">
        <is>
          <t>Oakenvale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30</v>
      </c>
      <c r="H13" t="n">
        <v>1.89</v>
      </c>
      <c r="I13" t="inlineStr">
        <is>
          <t>Transaction closed and cash received.</t>
        </is>
      </c>
    </row>
    <row r="14">
      <c r="A14" s="18" t="n">
        <v>46563</v>
      </c>
      <c r="B14" t="inlineStr">
        <is>
          <t>Dovelane Systems</t>
        </is>
      </c>
      <c r="C14" t="inlineStr">
        <is>
          <t>Priced Equity Round</t>
        </is>
      </c>
      <c r="D14" t="inlineStr">
        <is>
          <t>Series C (down round)</t>
        </is>
      </c>
      <c r="E14" t="n">
        <v>83.04000000000001</v>
      </c>
      <c r="G14" t="n">
        <v>0.05</v>
      </c>
      <c r="I14" t="inlineStr">
        <is>
          <t>$15.0M round led by a new investor at the term-sheet price. HC did not participate.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  <row r="47">
      <c r="A47" t="inlineStr">
        <is>
          <t>SNAPSHOT</t>
        </is>
      </c>
    </row>
    <row r="48">
      <c r="A48" t="inlineStr">
        <is>
          <t>Generated by</t>
        </is>
      </c>
      <c r="B48" t="inlineStr">
        <is>
          <t>hc-valuation engine 0.1.0, policy 2026Q4-0.1, run b9e1bcc61c42</t>
        </is>
      </c>
    </row>
    <row r="49">
      <c r="A49" t="inlineStr">
        <is>
          <t>Portfolio tab</t>
        </is>
      </c>
      <c r="B49" t="inlineStr">
        <is>
          <t>The book as of the Q4 2026 close (2026-12-31): Prior Mark is the booked mark from that run; Ownership, Invested and Realized are post-activity. Operating metrics are carried unchanged from the source file and should be refreshed.</t>
        </is>
      </c>
    </row>
    <row r="50">
      <c r="A50" t="inlineStr">
        <is>
          <t>Q1 2027 Activity tab</t>
        </is>
      </c>
      <c r="B50" t="inlineStr">
        <is>
          <t>Empty. Record every portfolio event in Q1 2027 here, then run hc-valuation with the matching policy file.</t>
        </is>
      </c>
    </row>
    <row r="51">
      <c r="A51" t="inlineStr">
        <is>
          <t>Open Items tab</t>
        </is>
      </c>
      <c r="B51" t="inlineStr">
        <is>
          <t>Unresolved items carried from the prior run (also emitted as open_items_carry.yaml, which the pipeline reads as prior_open_items).</t>
        </is>
      </c>
    </row>
    <row r="52">
      <c r="A52" t="inlineStr">
        <is>
          <t>Snapshot Notes tab</t>
        </is>
      </c>
      <c r="B52" t="inlineStr">
        <is>
          <t>Rows whose Prior Mark deliberately departs from Ownership x Latest Post-Money (note at cost, pending deal, override). Also carried in open_items_carry.yaml as mark_basis.</t>
        </is>
      </c>
    </row>
    <row r="54">
      <c r="A54" t="inlineStr">
        <is>
          <t>SNAPSHOT</t>
        </is>
      </c>
    </row>
    <row r="55">
      <c r="A55" t="inlineStr">
        <is>
          <t>Generated by</t>
        </is>
      </c>
      <c r="B55" t="inlineStr">
        <is>
          <t>hc-valuation engine 0.1.0, policy 2027Q1-0.1, run 28c1475c6d04</t>
        </is>
      </c>
    </row>
    <row r="56">
      <c r="A56" t="inlineStr">
        <is>
          <t>Portfolio tab</t>
        </is>
      </c>
      <c r="B56" t="inlineStr">
        <is>
          <t>The book as of the Q1 2027 close (2027-03-31): Prior Mark is the booked mark from that run; Ownership, Invested and Realized are post-activity. Operating metrics are carried unchanged from the source file and should be refreshed.</t>
        </is>
      </c>
    </row>
    <row r="57">
      <c r="A57" t="inlineStr">
        <is>
          <t>Q2 2027 Activity tab</t>
        </is>
      </c>
      <c r="B57" t="inlineStr">
        <is>
          <t>Empty. Record every portfolio event in Q2 2027 here, then run hc-valuation with the matching policy file.</t>
        </is>
      </c>
    </row>
    <row r="58">
      <c r="A58" t="inlineStr">
        <is>
          <t>Open Items tab</t>
        </is>
      </c>
      <c r="B58" t="inlineStr">
        <is>
          <t>Unresolved items carried from the prior run (also emitted as open_items_carry.yaml, which the pipeline reads as prior_open_items).</t>
        </is>
      </c>
    </row>
    <row r="59">
      <c r="A59" t="inlineStr">
        <is>
          <t>Snapshot Notes tab</t>
        </is>
      </c>
      <c r="B59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Dovelane Systems</t>
        </is>
      </c>
      <c r="B2" t="inlineStr">
        <is>
          <t>term_sheet</t>
        </is>
      </c>
      <c r="C2" s="19" t="n">
        <v>46357</v>
      </c>
      <c r="D2" t="inlineStr">
        <is>
          <t>Q4 2026</t>
        </is>
      </c>
      <c r="E2" s="19" t="n"/>
      <c r="F2" t="n">
        <v>83.04000000000001</v>
      </c>
      <c r="G2" t="inlineStr">
        <is>
          <t>Not closed; diligence underway, expected to close Q1.</t>
        </is>
      </c>
      <c r="H2" t="n">
        <v>1</v>
      </c>
      <c r="I2" t="inlineStr">
        <is>
          <t>yes</t>
        </is>
      </c>
    </row>
    <row r="3">
      <c r="A3" t="inlineStr">
        <is>
          <t>Fernwave</t>
        </is>
      </c>
      <c r="B3" t="inlineStr">
        <is>
          <t>ipo_lockup</t>
        </is>
      </c>
      <c r="C3" s="19" t="n">
        <v>46395</v>
      </c>
      <c r="D3" t="inlineStr">
        <is>
          <t>Q1 2027</t>
        </is>
      </c>
      <c r="E3" s="19" t="n">
        <v>46575</v>
      </c>
      <c r="G3" t="inlineStr">
        <is>
          <t>180-day lock-up; 3.0% of listed equity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acquirer_shares</t>
        </is>
      </c>
      <c r="C4" s="19" t="n">
        <v>46407</v>
      </c>
      <c r="D4" t="inlineStr">
        <is>
          <t>Q1 2027</t>
        </is>
      </c>
      <c r="E4" s="19" t="n"/>
      <c r="F4" t="n">
        <v>4.615</v>
      </c>
      <c r="G4" t="inlineStr">
        <is>
          <t>Shares of acquirer received on $65.0M deal; All-stock consideration; the buyer is privately held.</t>
        </is>
      </c>
      <c r="H4" t="n">
        <v>0</v>
      </c>
      <c r="I4" t="inlineStr">
        <is>
          <t>no</t>
        </is>
      </c>
    </row>
    <row r="5">
      <c r="A5" t="inlineStr">
        <is>
          <t>Jettamar</t>
        </is>
      </c>
      <c r="B5" t="inlineStr">
        <is>
          <t>pending_acquisition</t>
        </is>
      </c>
      <c r="C5" s="19" t="n">
        <v>46350</v>
      </c>
      <c r="D5" t="inlineStr">
        <is>
          <t>Q4 2026</t>
        </is>
      </c>
      <c r="E5" s="19" t="n"/>
      <c r="F5" t="n">
        <v>90</v>
      </c>
      <c r="G5" t="inlineStr">
        <is>
          <t>Expected to close in Q1 2027, subject to regulatory approval. No cash received.</t>
        </is>
      </c>
      <c r="H5" t="n">
        <v>1</v>
      </c>
      <c r="I5" t="inlineStr">
        <is>
          <t>no</t>
        </is>
      </c>
    </row>
    <row r="6">
      <c r="A6" t="inlineStr">
        <is>
          <t>Redgrove Health</t>
        </is>
      </c>
      <c r="B6" t="inlineStr">
        <is>
          <t>term_sheet</t>
        </is>
      </c>
      <c r="C6" s="19" t="n">
        <v>46461</v>
      </c>
      <c r="D6" t="inlineStr">
        <is>
          <t>Q1 2027</t>
        </is>
      </c>
      <c r="E6" s="19" t="n"/>
      <c r="F6" t="n">
        <v>40</v>
      </c>
      <c r="G6" t="inlineStr">
        <is>
          <t>Signed the morning of the close.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Fernwave</t>
        </is>
      </c>
      <c r="B2" t="inlineStr">
        <is>
          <t>Prior Mark $66.00M departs from ownership × last-round post-money (3.0% × $2400.00M = $72.00M): committee override booked $66.00M vs proposed $72.00M (E-01).</t>
        </is>
      </c>
    </row>
    <row r="3">
      <c r="A3" t="inlineStr">
        <is>
          <t>Jettamar</t>
        </is>
      </c>
      <c r="B3" t="inlineStr">
        <is>
          <t>Prior Mark $9.47M departs from ownership × last-round post-money (11.1% × $43.00M = $4.77M): booked mark does not reconcile to ownership × last-round post-money.</t>
        </is>
      </c>
    </row>
    <row r="4">
      <c r="A4" t="inlineStr">
        <is>
          <t>Umberly</t>
        </is>
      </c>
      <c r="B4" t="inlineStr">
        <is>
          <t>Prior Mark $0.00M departs from ownership × last-round post-money (7.5% × $180.00M = $13.50M): committee override booked $0.00M vs proposed $24.10M (E-01); equity mark $24.10M set by M-025, not ownership × last round.</t>
        </is>
      </c>
    </row>
    <row r="5">
      <c r="A5" t="inlineStr">
        <is>
          <t>Drayvenn</t>
        </is>
      </c>
      <c r="B5" t="inlineStr">
        <is>
          <t>Prior Mark $109.20M departs from ownership × last-round post-money (2.8% × $3931.00M = $110.07M): committee override booked $109.20M vs proposed $110.07M (E-01).</t>
        </is>
      </c>
    </row>
    <row r="6">
      <c r="A6" t="inlineStr">
        <is>
          <t>Birchhollow</t>
        </is>
      </c>
      <c r="B6" t="inlineStr">
        <is>
          <t>Prior Mark $28.14M departs from ownership × last-round post-money (2.9% × $1494.50M = $43.34M): committee override booked $28.14M vs proposed $28.14M (E-01).</t>
        </is>
      </c>
    </row>
    <row r="7">
      <c r="A7" t="inlineStr">
        <is>
          <t>Foxtrellis</t>
        </is>
      </c>
      <c r="B7" t="inlineStr">
        <is>
          <t>same-terms extension on 2027-02-10 is not price discovery; the staleness clock runs from 2023-10-14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Northquill</t>
        </is>
      </c>
      <c r="B2" t="inlineStr">
        <is>
          <t>Cash ($M)</t>
        </is>
      </c>
      <c r="C2" t="n">
        <v>6.99</v>
      </c>
      <c r="D2" t="n">
        <v>1</v>
      </c>
      <c r="E2" t="inlineStr">
        <is>
          <t>with burn 1.0 → runway 1.0, aged 0.0</t>
        </is>
      </c>
    </row>
    <row r="3">
      <c r="A3" t="inlineStr">
        <is>
          <t>Stonegather</t>
        </is>
      </c>
      <c r="B3" t="inlineStr">
        <is>
          <t>Cash ($M)</t>
        </is>
      </c>
      <c r="C3" t="n">
        <v>1.4</v>
      </c>
      <c r="D3" t="n">
        <v>0</v>
      </c>
      <c r="E3" t="inlineStr">
        <is>
          <t>no cash: runway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2026-09-07T10:02:17Z</dcterms:created>
  <dcterms:modified xsi:type="dcterms:W3CDTF">2026-09-07T10:02:18Z</dcterms:modified>
</cp:coreProperties>
</file>