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2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C</t>
        </is>
      </c>
      <c r="E2" t="inlineStr">
        <is>
          <t>Active</t>
        </is>
      </c>
      <c r="F2" s="12" t="n">
        <v>43834</v>
      </c>
      <c r="G2" s="12" t="n">
        <v>46448</v>
      </c>
      <c r="H2" s="13" t="n">
        <v>110</v>
      </c>
      <c r="I2" s="13" t="n">
        <v>7</v>
      </c>
      <c r="J2" s="14" t="n">
        <v>0.104</v>
      </c>
      <c r="K2" s="13" t="n">
        <v>11.44</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Public</t>
        </is>
      </c>
      <c r="E7" t="inlineStr">
        <is>
          <t>Active</t>
        </is>
      </c>
      <c r="F7" s="12" t="n">
        <v>43876</v>
      </c>
      <c r="G7" s="12" t="n">
        <v>46395</v>
      </c>
      <c r="H7" s="13" t="n">
        <v>2400</v>
      </c>
      <c r="I7" s="13" t="n">
        <v>10.3</v>
      </c>
      <c r="J7" s="14" t="n">
        <v>0.03</v>
      </c>
      <c r="K7" s="13" t="n">
        <v>66</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Acquired (stock)</t>
        </is>
      </c>
      <c r="E9" t="inlineStr">
        <is>
          <t>Active</t>
        </is>
      </c>
      <c r="F9" s="12" t="n">
        <v>43666</v>
      </c>
      <c r="G9" s="12" t="n">
        <v>46328</v>
      </c>
      <c r="H9" s="13" t="n">
        <v>65</v>
      </c>
      <c r="I9" s="13" t="n">
        <v>2</v>
      </c>
      <c r="J9" s="14" t="n">
        <v>0.07099999999999999</v>
      </c>
      <c r="K9" s="13" t="n">
        <v>4.615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Series A</t>
        </is>
      </c>
      <c r="E13" t="inlineStr">
        <is>
          <t>Active</t>
        </is>
      </c>
      <c r="F13" s="12" t="n">
        <v>46096</v>
      </c>
      <c r="G13" s="12" t="n">
        <v>46451</v>
      </c>
      <c r="H13" s="13" t="n">
        <v>13</v>
      </c>
      <c r="I13" s="13" t="n">
        <v>0.5</v>
      </c>
      <c r="J13" s="14" t="n">
        <v>0.08500000000000001</v>
      </c>
      <c r="K13" s="13" t="n">
        <v>1.105</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46245</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46432</v>
      </c>
      <c r="H21" s="13" t="n">
        <v>9</v>
      </c>
      <c r="I21" s="13" t="n">
        <v>1.5</v>
      </c>
      <c r="J21" s="14" t="n">
        <v>0.095</v>
      </c>
      <c r="K21" s="13" t="n">
        <v>0.855</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0</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Shut Down</t>
        </is>
      </c>
      <c r="F24" s="12" t="n">
        <v>43791</v>
      </c>
      <c r="G24" s="12" t="n">
        <v>44980</v>
      </c>
      <c r="H24" s="13" t="n">
        <v>562.1</v>
      </c>
      <c r="I24" s="13" t="n">
        <v>6</v>
      </c>
      <c r="J24" s="14" t="n">
        <v>0.022</v>
      </c>
      <c r="K24" s="13" t="n">
        <v>0</v>
      </c>
      <c r="L24" s="13" t="n">
        <v>14</v>
      </c>
      <c r="M24" s="15">
        <f>(K24+L24)/I24</f>
        <v/>
      </c>
      <c r="N24" s="13" t="n"/>
      <c r="O24" s="6" t="n"/>
      <c r="P24" s="6" t="n"/>
      <c r="Q24" s="16" t="n"/>
      <c r="R24" s="13" t="n"/>
      <c r="S24" s="17">
        <f>IF(AND(ISNUMBER(Q24),Q24&gt;0),R24/Q24,"-")</f>
        <v/>
      </c>
      <c r="T24" s="9" t="n"/>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Series A</t>
        </is>
      </c>
      <c r="E27" t="inlineStr">
        <is>
          <t>Active</t>
        </is>
      </c>
      <c r="F27" s="12" t="n">
        <v>45336</v>
      </c>
      <c r="G27" s="12" t="n">
        <v>46455</v>
      </c>
      <c r="H27" s="13" t="n">
        <v>30</v>
      </c>
      <c r="I27" s="13" t="n">
        <v>2.5</v>
      </c>
      <c r="J27" s="14" t="n">
        <v>0.13</v>
      </c>
      <c r="K27" s="13" t="n">
        <v>3.9</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Acquired</t>
        </is>
      </c>
      <c r="F28" s="12" t="n">
        <v>45240</v>
      </c>
      <c r="G28" s="12" t="n">
        <v>45240</v>
      </c>
      <c r="H28" s="13" t="n">
        <v>21.2</v>
      </c>
      <c r="I28" s="13" t="n">
        <v>1.5</v>
      </c>
      <c r="J28" s="14" t="n">
        <v>0.064</v>
      </c>
      <c r="K28" s="13" t="n">
        <v>0</v>
      </c>
      <c r="L28" s="13" t="n">
        <v>11.52</v>
      </c>
      <c r="M28" s="15">
        <f>(K28+L28)/I28</f>
        <v/>
      </c>
      <c r="N28" s="13" t="n"/>
      <c r="O28" s="6" t="n"/>
      <c r="P28" s="6" t="n"/>
      <c r="Q28" s="16" t="n"/>
      <c r="R28" s="13" t="n"/>
      <c r="S28" s="17">
        <f>IF(AND(ISNUMBER(Q28),Q28&gt;0),R28/Q28,"-")</f>
        <v/>
      </c>
      <c r="T28" s="9" t="n"/>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46477</v>
      </c>
      <c r="H31" s="13" t="n">
        <v>3931</v>
      </c>
      <c r="I31" s="13" t="n">
        <v>20</v>
      </c>
      <c r="J31" s="14" t="n">
        <v>0.028</v>
      </c>
      <c r="K31" s="13" t="n">
        <v>109.2</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7.2791</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B</t>
        </is>
      </c>
      <c r="E45" t="inlineStr">
        <is>
          <t>Active</t>
        </is>
      </c>
      <c r="F45" s="12" t="n">
        <v>44423</v>
      </c>
      <c r="G45" s="12" t="n">
        <v>46461</v>
      </c>
      <c r="H45" s="13" t="n">
        <v>40</v>
      </c>
      <c r="I45" s="13" t="n">
        <v>4.4</v>
      </c>
      <c r="J45" s="14" t="n">
        <v>0.1075</v>
      </c>
      <c r="K45" s="13" t="n">
        <v>4.3</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0.6</v>
      </c>
      <c r="L51" s="13" t="n">
        <v>0.31</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46428</v>
      </c>
      <c r="H58" s="13" t="n">
        <v>631.7</v>
      </c>
      <c r="I58" s="13" t="n">
        <v>4.5</v>
      </c>
      <c r="J58" s="14" t="n">
        <v>0.043</v>
      </c>
      <c r="K58" s="13" t="n">
        <v>27.1631</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4.245</v>
      </c>
      <c r="J65" s="14" t="n">
        <v>0.056</v>
      </c>
      <c r="K65" s="13" t="n">
        <v>6.86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0</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1</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Series A</t>
        </is>
      </c>
      <c r="E102" t="inlineStr">
        <is>
          <t>Active</t>
        </is>
      </c>
      <c r="F102" s="12" t="n">
        <v>46338</v>
      </c>
      <c r="G102" s="12" t="n">
        <v>46458</v>
      </c>
      <c r="H102" s="13" t="n">
        <v>40</v>
      </c>
      <c r="I102" s="13" t="n">
        <v>2.5</v>
      </c>
      <c r="J102" s="14" t="n">
        <v>0.108</v>
      </c>
      <c r="K102" s="13" t="n">
        <v>4.32</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46483</v>
      </c>
      <c r="B2" t="inlineStr">
        <is>
          <t>Arcfoundry</t>
        </is>
      </c>
      <c r="C2" t="inlineStr">
        <is>
          <t>Distribution</t>
        </is>
      </c>
      <c r="D2" t="inlineStr">
        <is>
          <t>Holdback released</t>
        </is>
      </c>
      <c r="H2" t="n">
        <v>1.28</v>
      </c>
      <c r="I2" t="inlineStr">
        <is>
          <t>Holdback released on schedule.</t>
        </is>
      </c>
    </row>
    <row r="3">
      <c r="A3" s="18" t="n">
        <v>46487</v>
      </c>
      <c r="B3" t="inlineStr">
        <is>
          <t>Umberly</t>
        </is>
      </c>
      <c r="C3" t="inlineStr">
        <is>
          <t>Priced Equity Round</t>
        </is>
      </c>
      <c r="D3" t="inlineStr">
        <is>
          <t>Series C-1 (recap)</t>
        </is>
      </c>
      <c r="E3" t="n">
        <v>40</v>
      </c>
      <c r="G3" t="inlineStr">
        <is>
          <t>TBD</t>
        </is>
      </c>
      <c r="I3" t="inlineStr">
        <is>
          <t>Plan of reorganisation confirmed; new money from existing lenders. HC did not participate.</t>
        </is>
      </c>
    </row>
    <row r="4">
      <c r="A4" s="18" t="n">
        <v>46492</v>
      </c>
      <c r="B4" t="inlineStr">
        <is>
          <t>Pellagrin</t>
        </is>
      </c>
      <c r="C4" t="inlineStr">
        <is>
          <t>Priced Equity Round</t>
        </is>
      </c>
      <c r="D4" t="inlineStr">
        <is>
          <t>Series B extension (same terms)</t>
        </is>
      </c>
      <c r="E4" t="n">
        <v>176.3</v>
      </c>
      <c r="F4" t="n">
        <v>0.5</v>
      </c>
      <c r="G4" t="n">
        <v>0.082</v>
      </c>
      <c r="I4" t="inlineStr">
        <is>
          <t>Extension of the prior round at the same post-money.</t>
        </is>
      </c>
    </row>
    <row r="5">
      <c r="A5" s="18" t="n">
        <v>46512</v>
      </c>
      <c r="B5" t="inlineStr">
        <is>
          <t>Nimbrel</t>
        </is>
      </c>
      <c r="C5" t="inlineStr">
        <is>
          <t>Secondary Sale</t>
        </is>
      </c>
      <c r="D5" t="inlineStr">
        <is>
          <t>HC sold 40% of its position</t>
        </is>
      </c>
      <c r="E5" t="n">
        <v>70</v>
      </c>
      <c r="G5" t="n">
        <v>0.0462</v>
      </c>
      <c r="H5" t="n">
        <v>2.156</v>
      </c>
      <c r="I5" t="inlineStr">
        <is>
          <t>Buyer paid the Series B price.</t>
        </is>
      </c>
    </row>
    <row r="6">
      <c r="A6" s="18" t="n">
        <v>46519</v>
      </c>
      <c r="B6" t="inlineStr">
        <is>
          <t>Elmsworth Data</t>
        </is>
      </c>
      <c r="C6" t="inlineStr">
        <is>
          <t>Acquisition (Announced)</t>
        </is>
      </c>
      <c r="D6" t="inlineStr">
        <is>
          <t>Definitive agreement signed, all cash</t>
        </is>
      </c>
      <c r="E6" t="n">
        <v>900</v>
      </c>
      <c r="I6" t="inlineStr">
        <is>
          <t>Expected to close in Q3 2027. No cash received.</t>
        </is>
      </c>
    </row>
    <row r="7">
      <c r="A7" s="18" t="n">
        <v>46525</v>
      </c>
      <c r="B7" t="inlineStr">
        <is>
          <t>Gorseline</t>
        </is>
      </c>
      <c r="C7" t="inlineStr">
        <is>
          <t>Priced Equity Round</t>
        </is>
      </c>
      <c r="D7" t="inlineStr">
        <is>
          <t>Series B</t>
        </is>
      </c>
      <c r="E7" t="n">
        <v>90</v>
      </c>
      <c r="G7" t="n">
        <v>0.09</v>
      </c>
      <c r="I7" t="inlineStr">
        <is>
          <t>$20.0M round led by a new investor. HC did not participate.</t>
        </is>
      </c>
    </row>
    <row r="8">
      <c r="A8" s="18" t="n">
        <v>46532</v>
      </c>
      <c r="B8" t="inlineStr">
        <is>
          <t>Kestwick</t>
        </is>
      </c>
      <c r="C8" t="inlineStr">
        <is>
          <t>Shutdown</t>
        </is>
      </c>
      <c r="D8" t="inlineStr">
        <is>
          <t>Ceased operations</t>
        </is>
      </c>
      <c r="I8" t="inlineStr">
        <is>
          <t>Board voted to wind down. No recovery expected.</t>
        </is>
      </c>
    </row>
    <row r="9">
      <c r="A9" s="18" t="n">
        <v>46539</v>
      </c>
      <c r="B9" t="inlineStr">
        <is>
          <t>Tidewell Health</t>
        </is>
      </c>
      <c r="C9" t="inlineStr">
        <is>
          <t>Convertible Note</t>
        </is>
      </c>
      <c r="D9" t="inlineStr">
        <is>
          <t>$2.0M bridge note, $20.0M valuation cap</t>
        </is>
      </c>
      <c r="I9" t="inlineStr">
        <is>
          <t>Uncapped interest, converts at next priced round. HC did not participate.</t>
        </is>
      </c>
    </row>
    <row r="10">
      <c r="A10" s="18" t="n">
        <v>46546</v>
      </c>
      <c r="B10" t="inlineStr">
        <is>
          <t>Mardellan</t>
        </is>
      </c>
      <c r="C10" t="inlineStr">
        <is>
          <t>Secondary Sale</t>
        </is>
      </c>
      <c r="D10" t="inlineStr">
        <is>
          <t>HC sold 50% of its position</t>
        </is>
      </c>
      <c r="E10" t="n">
        <v>5000</v>
      </c>
      <c r="G10" t="n">
        <v>0.006</v>
      </c>
      <c r="H10" t="n">
        <v>30</v>
      </c>
      <c r="I10" t="inlineStr">
        <is>
          <t>Buyer paid 12% below the Series D+ price.</t>
        </is>
      </c>
    </row>
    <row r="11">
      <c r="A11" s="18" t="n">
        <v>46553</v>
      </c>
      <c r="B11" t="inlineStr">
        <is>
          <t>Thornmill Systems</t>
        </is>
      </c>
      <c r="C11" t="inlineStr">
        <is>
          <t>Direct Listing</t>
        </is>
      </c>
      <c r="D11" t="inlineStr">
        <is>
          <t>Listed on Nasdaq</t>
        </is>
      </c>
      <c r="E11" t="n">
        <v>2500</v>
      </c>
      <c r="G11" t="n">
        <v>0.013</v>
      </c>
      <c r="I11" t="inlineStr">
        <is>
          <t>Direct listing; no lock-up.</t>
        </is>
      </c>
    </row>
    <row r="12">
      <c r="A12" s="18" t="n">
        <v>46558</v>
      </c>
      <c r="B12" t="inlineStr">
        <is>
          <t>Elmsworth Data</t>
        </is>
      </c>
      <c r="C12" t="inlineStr">
        <is>
          <t>Acquisition (Closed)</t>
        </is>
      </c>
      <c r="D12" t="inlineStr">
        <is>
          <t>All-cash acquisition</t>
        </is>
      </c>
      <c r="E12" t="n">
        <v>900</v>
      </c>
      <c r="H12" t="n">
        <v>34.2</v>
      </c>
      <c r="I12" t="inlineStr">
        <is>
          <t>Closed ahead of schedule; cash received in full.</t>
        </is>
      </c>
    </row>
    <row r="13">
      <c r="A13" s="18" t="n">
        <v>46560</v>
      </c>
      <c r="B13" t="inlineStr">
        <is>
          <t>Oakenvale</t>
        </is>
      </c>
      <c r="C13" t="inlineStr">
        <is>
          <t>Acquisition (Closed)</t>
        </is>
      </c>
      <c r="D13" t="inlineStr">
        <is>
          <t>All-cash acquisition</t>
        </is>
      </c>
      <c r="E13" t="n">
        <v>30</v>
      </c>
      <c r="H13" t="n">
        <v>1.89</v>
      </c>
      <c r="I13" t="inlineStr">
        <is>
          <t>Transaction closed and cash received.</t>
        </is>
      </c>
    </row>
    <row r="14">
      <c r="A14" s="18" t="n">
        <v>46563</v>
      </c>
      <c r="B14" t="inlineStr">
        <is>
          <t>Dovelane Systems</t>
        </is>
      </c>
      <c r="C14" t="inlineStr">
        <is>
          <t>Priced Equity Round</t>
        </is>
      </c>
      <c r="D14" t="inlineStr">
        <is>
          <t>Series C (down round)</t>
        </is>
      </c>
      <c r="E14" t="n">
        <v>83.04000000000001</v>
      </c>
      <c r="G14" t="n">
        <v>0.05</v>
      </c>
      <c r="I14" t="inlineStr">
        <is>
          <t>$15.0M round led by a new investor at the term-sheet price. HC did not participate.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df62f01d0864</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row r="54">
      <c r="A54" t="inlineStr">
        <is>
          <t>SNAPSHOT</t>
        </is>
      </c>
    </row>
    <row r="55">
      <c r="A55" t="inlineStr">
        <is>
          <t>Generated by</t>
        </is>
      </c>
      <c r="B55" t="inlineStr">
        <is>
          <t>hc-valuation engine 0.1.0, policy 2027Q1-0.1, run 8cefe0cb2697</t>
        </is>
      </c>
    </row>
    <row r="56">
      <c r="A56" t="inlineStr">
        <is>
          <t>Portfolio tab</t>
        </is>
      </c>
      <c r="B56" t="inlineStr">
        <is>
          <t>The book as of the Q1 2027 close (2027-03-31): Prior Mark is the booked mark from that run; Ownership, Invested and Realized are post-activity. Operating metrics are carried unchanged from the source file and should be refreshed.</t>
        </is>
      </c>
    </row>
    <row r="57">
      <c r="A57" t="inlineStr">
        <is>
          <t>Q2 2027 Activity tab</t>
        </is>
      </c>
      <c r="B57" t="inlineStr">
        <is>
          <t>Empty. Record every portfolio event in Q2 2027 here, then run hc-valuation with the matching policy file.</t>
        </is>
      </c>
    </row>
    <row r="58">
      <c r="A58" t="inlineStr">
        <is>
          <t>Open Items tab</t>
        </is>
      </c>
      <c r="B58" t="inlineStr">
        <is>
          <t>Unresolved items carried from the prior run (also emitted as open_items_carry.yaml, which the pipeline reads as prior_open_items).</t>
        </is>
      </c>
    </row>
    <row r="59">
      <c r="A59" t="inlineStr">
        <is>
          <t>Snapshot Notes tab</t>
        </is>
      </c>
      <c r="B59"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Dovelane Systems</t>
        </is>
      </c>
      <c r="B2" t="inlineStr">
        <is>
          <t>term_sheet</t>
        </is>
      </c>
      <c r="C2" s="19" t="n">
        <v>46357</v>
      </c>
      <c r="D2" t="inlineStr">
        <is>
          <t>Q4 2026</t>
        </is>
      </c>
      <c r="E2" s="19" t="n"/>
      <c r="F2" t="n">
        <v>83.04000000000001</v>
      </c>
      <c r="G2" t="inlineStr">
        <is>
          <t>Not closed; diligence underway, expected to close Q1.</t>
        </is>
      </c>
      <c r="H2" t="n">
        <v>1</v>
      </c>
      <c r="I2" t="inlineStr">
        <is>
          <t>yes</t>
        </is>
      </c>
    </row>
    <row r="3">
      <c r="A3" t="inlineStr">
        <is>
          <t>Fernwave</t>
        </is>
      </c>
      <c r="B3" t="inlineStr">
        <is>
          <t>ipo_lockup</t>
        </is>
      </c>
      <c r="C3" s="19" t="n">
        <v>46395</v>
      </c>
      <c r="D3" t="inlineStr">
        <is>
          <t>Q1 2027</t>
        </is>
      </c>
      <c r="E3" s="19" t="n">
        <v>46575</v>
      </c>
      <c r="G3" t="inlineStr">
        <is>
          <t>180-day lock-up; 3.0% of listed equity</t>
        </is>
      </c>
      <c r="H3" t="n">
        <v>0</v>
      </c>
      <c r="I3" t="inlineStr">
        <is>
          <t>no</t>
        </is>
      </c>
    </row>
    <row r="4">
      <c r="A4" t="inlineStr">
        <is>
          <t>Halcyra</t>
        </is>
      </c>
      <c r="B4" t="inlineStr">
        <is>
          <t>acquirer_shares</t>
        </is>
      </c>
      <c r="C4" s="19" t="n">
        <v>46407</v>
      </c>
      <c r="D4" t="inlineStr">
        <is>
          <t>Q1 2027</t>
        </is>
      </c>
      <c r="E4" s="19" t="n"/>
      <c r="F4" t="n">
        <v>4.615</v>
      </c>
      <c r="G4" t="inlineStr">
        <is>
          <t>Shares of acquirer received on $65.0M deal; All-stock consideration; the buyer is privately held.</t>
        </is>
      </c>
      <c r="H4" t="n">
        <v>0</v>
      </c>
      <c r="I4" t="inlineStr">
        <is>
          <t>no</t>
        </is>
      </c>
    </row>
    <row r="5">
      <c r="A5" t="inlineStr">
        <is>
          <t>Jettamar</t>
        </is>
      </c>
      <c r="B5" t="inlineStr">
        <is>
          <t>pending_acquisition</t>
        </is>
      </c>
      <c r="C5" s="19" t="n">
        <v>46350</v>
      </c>
      <c r="D5" t="inlineStr">
        <is>
          <t>Q4 2026</t>
        </is>
      </c>
      <c r="E5" s="19" t="n"/>
      <c r="F5" t="n">
        <v>90</v>
      </c>
      <c r="G5" t="inlineStr">
        <is>
          <t>Expected to close in Q1 2027, subject to regulatory approval. No cash received.</t>
        </is>
      </c>
      <c r="H5" t="n">
        <v>1</v>
      </c>
      <c r="I5" t="inlineStr">
        <is>
          <t>no</t>
        </is>
      </c>
    </row>
    <row r="6">
      <c r="A6" t="inlineStr">
        <is>
          <t>Knollward</t>
        </is>
      </c>
      <c r="B6" t="inlineStr">
        <is>
          <t>unconfirmed_exit</t>
        </is>
      </c>
      <c r="C6" s="19" t="n">
        <v>46438</v>
      </c>
      <c r="D6" t="inlineStr">
        <is>
          <t>Q1 2027</t>
        </is>
      </c>
      <c r="E6" s="19" t="n"/>
      <c r="F6" t="n">
        <v>30</v>
      </c>
      <c r="G6" t="inlineStr">
        <is>
          <t>exit closed 2027-02-20 at $30.0M with no cash recorded; record the closing with its proceeds when the cash arrives, or write the position to zero</t>
        </is>
      </c>
      <c r="H6" t="n">
        <v>0</v>
      </c>
      <c r="I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Fernwave</t>
        </is>
      </c>
      <c r="B2" t="inlineStr">
        <is>
          <t>Prior Mark $66.00M departs from ownership × last-round post-money (3.0% × $2400.00M = $72.00M): committee override booked $66.00M vs proposed $72.00M (E-01).</t>
        </is>
      </c>
    </row>
    <row r="3">
      <c r="A3" t="inlineStr">
        <is>
          <t>Jettamar</t>
        </is>
      </c>
      <c r="B3" t="inlineStr">
        <is>
          <t>Prior Mark $9.47M departs from ownership × last-round post-money (11.1% × $43.00M = $4.77M): booked mark does not reconcile to ownership × last-round post-money.</t>
        </is>
      </c>
    </row>
    <row r="4">
      <c r="A4" t="inlineStr">
        <is>
          <t>Umberly</t>
        </is>
      </c>
      <c r="B4" t="inlineStr">
        <is>
          <t>Prior Mark $0.00M departs from ownership × last-round post-money (7.5% × $180.00M = $13.50M): committee override booked $0.00M vs proposed $24.10M (E-01); equity mark $24.10M set by M-025, not ownership × last round.</t>
        </is>
      </c>
    </row>
    <row r="5">
      <c r="A5" t="inlineStr">
        <is>
          <t>Drayvenn</t>
        </is>
      </c>
      <c r="B5" t="inlineStr">
        <is>
          <t>Prior Mark $109.20M departs from ownership × last-round post-money (2.8% × $3931.00M = $110.07M): committee override booked $109.20M vs proposed $110.07M (E-01).</t>
        </is>
      </c>
    </row>
    <row r="6">
      <c r="A6" t="inlineStr">
        <is>
          <t>Birchhollow</t>
        </is>
      </c>
      <c r="B6" t="inlineStr">
        <is>
          <t>Prior Mark $28.14M departs from ownership × last-round post-money (2.9% × $1494.50M = $43.34M): committee override booked $28.14M vs proposed $28.14M (E-01).</t>
        </is>
      </c>
    </row>
    <row r="7">
      <c r="A7" t="inlineStr">
        <is>
          <t>Knollward</t>
        </is>
      </c>
      <c r="B7" t="inlineStr">
        <is>
          <t>Exit recorded as Acquired in the quarter with no cash received; the committee held $48.80M rather than writing the position off, so it rolls forward as Active at that value with an 'unconfirmed exit' open item. Record the closing with its proceeds when the cash arrives, or write it to zero.</t>
        </is>
      </c>
    </row>
    <row r="8">
      <c r="A8" t="inlineStr">
        <is>
          <t>Pellagrin</t>
        </is>
      </c>
      <c r="B8" t="inlineStr">
        <is>
          <t>same-terms extension on 2026-08-11 is not price discovery; the staleness clock runs from 2021-10-08</t>
        </is>
      </c>
    </row>
    <row r="9">
      <c r="A9" t="inlineStr">
        <is>
          <t>Foxtrellis</t>
        </is>
      </c>
      <c r="B9" t="inlineStr">
        <is>
          <t>same-terms extension on 2027-02-10 is not price discovery; the staleness clock runs from 2023-10-14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Northquill</t>
        </is>
      </c>
      <c r="B2" t="inlineStr">
        <is>
          <t>Cash ($M)</t>
        </is>
      </c>
      <c r="C2" t="n">
        <v>6.99</v>
      </c>
      <c r="D2" t="n">
        <v>1</v>
      </c>
      <c r="E2" t="inlineStr">
        <is>
          <t>with burn 1.0 → runway 1.0, aged 0.0</t>
        </is>
      </c>
    </row>
    <row r="3">
      <c r="A3" t="inlineStr">
        <is>
          <t>Stonegather</t>
        </is>
      </c>
      <c r="B3" t="inlineStr">
        <is>
          <t>Cash ($M)</t>
        </is>
      </c>
      <c r="C3" t="n">
        <v>1.4</v>
      </c>
      <c r="D3" t="n">
        <v>0</v>
      </c>
      <c r="E3" t="inlineStr">
        <is>
          <t>no cash: runway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2026-09-07T10:12:25Z</dcterms:created>
  <dcterms:modified xsi:type="dcterms:W3CDTF">2026-09-07T10:12:26Z</dcterms:modified>
</cp:coreProperties>
</file>