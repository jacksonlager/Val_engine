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  <row r="102">
      <c r="A102" t="inlineStr">
        <is>
          <t>Aravine</t>
        </is>
      </c>
      <c r="B102" t="inlineStr">
        <is>
          <t>Climate &amp; Energy</t>
        </is>
      </c>
      <c r="C102" t="inlineStr">
        <is>
          <t>Fund I</t>
        </is>
      </c>
      <c r="D102" t="inlineStr">
        <is>
          <t>Series B</t>
        </is>
      </c>
      <c r="E102" t="inlineStr">
        <is>
          <t>Active</t>
        </is>
      </c>
      <c r="F102" s="18" t="n">
        <v>43834</v>
      </c>
      <c r="G102" s="18" t="n">
        <v>46258</v>
      </c>
      <c r="H102" t="n">
        <v>128.5</v>
      </c>
      <c r="I102" t="n">
        <v>6</v>
      </c>
      <c r="J102" t="n">
        <v>0.108</v>
      </c>
      <c r="K102" t="n">
        <v>13.878</v>
      </c>
      <c r="L102" t="n">
        <v>0</v>
      </c>
      <c r="M102">
        <f>(K2+L2)/I2</f>
        <v/>
      </c>
      <c r="N102" t="n">
        <v>3.4</v>
      </c>
      <c r="O102" t="n">
        <v>0.83</v>
      </c>
      <c r="P102" t="n">
        <v>0.49</v>
      </c>
      <c r="Q102" t="n">
        <v>0.54</v>
      </c>
      <c r="R102" t="n">
        <v>18.1</v>
      </c>
      <c r="S102">
        <f>IF(AND(ISNUMBER(Q2),Q2&gt;0),R2/Q2,"-")</f>
        <v/>
      </c>
      <c r="T10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