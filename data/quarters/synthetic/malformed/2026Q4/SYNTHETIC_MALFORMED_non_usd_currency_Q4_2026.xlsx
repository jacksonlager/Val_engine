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4 2026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B</t>
        </is>
      </c>
      <c r="E2" t="inlineStr">
        <is>
          <t>Active</t>
        </is>
      </c>
      <c r="F2" s="12" t="n">
        <v>43834</v>
      </c>
      <c r="G2" s="12" t="n">
        <v>46258</v>
      </c>
      <c r="H2" s="13" t="n">
        <v>128.5</v>
      </c>
      <c r="I2" s="13" t="n">
        <v>6</v>
      </c>
      <c r="J2" s="14" t="n">
        <v>0.108</v>
      </c>
      <c r="K2" s="13" t="n">
        <v>13.878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8.1</v>
      </c>
      <c r="L3" s="13" t="n">
        <v>0</v>
      </c>
      <c r="M3" s="15">
        <f>(K3+L3)/I3</f>
        <v/>
      </c>
      <c r="N3" s="13" t="n">
        <v>5.1</v>
      </c>
      <c r="O3" s="6" t="n">
        <v>1.08</v>
      </c>
      <c r="P3" s="6" t="n">
        <v>0.67</v>
      </c>
      <c r="Q3" s="16" t="n">
        <v>0.52</v>
      </c>
      <c r="R3" s="13" t="n">
        <v>3.1</v>
      </c>
      <c r="S3" s="17">
        <f>IF(AND(ISNUMBER(Q3),Q3&gt;0),R3/Q3,"-")</f>
        <v/>
      </c>
      <c r="T3" s="9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28.2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12" t="n">
        <v>45681</v>
      </c>
      <c r="G6" s="12" t="n">
        <v>45681</v>
      </c>
      <c r="H6" s="13" t="n">
        <v>22.5</v>
      </c>
      <c r="I6" s="13" t="n">
        <v>2.5</v>
      </c>
      <c r="J6" s="14" t="n">
        <v>0.078</v>
      </c>
      <c r="K6" s="13" t="n">
        <v>1.8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D</t>
        </is>
      </c>
      <c r="E7" t="inlineStr">
        <is>
          <t>Active</t>
        </is>
      </c>
      <c r="F7" s="12" t="n">
        <v>43876</v>
      </c>
      <c r="G7" s="12" t="n">
        <v>46238</v>
      </c>
      <c r="H7" s="13" t="n">
        <v>1837.9</v>
      </c>
      <c r="I7" s="13" t="n">
        <v>10.3</v>
      </c>
      <c r="J7" s="14" t="n">
        <v>0.04</v>
      </c>
      <c r="K7" s="13" t="n">
        <v>73.51600000000001</v>
      </c>
      <c r="L7" s="13" t="n">
        <v>0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4.6592</v>
      </c>
      <c r="L8" s="13" t="n">
        <v>0</v>
      </c>
      <c r="M8" s="15">
        <f>(K8+L8)/I8</f>
        <v/>
      </c>
      <c r="N8" s="13" t="n">
        <v>14</v>
      </c>
      <c r="O8" s="6" t="n">
        <v>0.51</v>
      </c>
      <c r="P8" s="6" t="n">
        <v>0.68</v>
      </c>
      <c r="Q8" s="16" t="n">
        <v>0.5600000000000001</v>
      </c>
      <c r="R8" s="13" t="n">
        <v>14</v>
      </c>
      <c r="S8" s="17">
        <f>IF(AND(ISNUMBER(Q8),Q8&gt;0),R8/Q8,"-")</f>
        <v/>
      </c>
      <c r="T8" s="9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12" t="n">
        <v>43666</v>
      </c>
      <c r="G9" s="12" t="n">
        <v>44134</v>
      </c>
      <c r="H9" s="13" t="n">
        <v>31.3</v>
      </c>
      <c r="I9" s="13" t="n">
        <v>2</v>
      </c>
      <c r="J9" s="14" t="n">
        <v>0.08500000000000001</v>
      </c>
      <c r="K9" s="13" t="n">
        <v>2.7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0.038</v>
      </c>
      <c r="K10" s="13" t="n">
        <v>29.0396</v>
      </c>
      <c r="L10" s="13" t="n">
        <v>0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4.773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12" t="n">
        <v>46096</v>
      </c>
      <c r="G13" s="12" t="n">
        <v>46096</v>
      </c>
      <c r="H13" s="13" t="n">
        <v>4.3</v>
      </c>
      <c r="I13" s="13" t="n">
        <v>0.5</v>
      </c>
      <c r="J13" s="14" t="n">
        <v>0.099</v>
      </c>
      <c r="K13" s="13" t="n">
        <v>0.4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10.4</v>
      </c>
      <c r="J14" s="14" t="n">
        <v>0.017</v>
      </c>
      <c r="K14" s="13" t="n">
        <v>8.772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A</t>
        </is>
      </c>
      <c r="E15" t="inlineStr">
        <is>
          <t>Active</t>
        </is>
      </c>
      <c r="F15" s="12" t="n">
        <v>44962</v>
      </c>
      <c r="G15" s="12" t="n">
        <v>46230</v>
      </c>
      <c r="H15" s="13" t="n">
        <v>45.1</v>
      </c>
      <c r="I15" s="13" t="n">
        <v>1.7</v>
      </c>
      <c r="J15" s="14" t="n">
        <v>0.068</v>
      </c>
      <c r="K15" s="13" t="n">
        <v>3.0668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46245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12" t="n">
        <v>45096</v>
      </c>
      <c r="G20" s="12" t="n">
        <v>45985</v>
      </c>
      <c r="H20" s="13" t="n">
        <v>75.5</v>
      </c>
      <c r="I20" s="13" t="n">
        <v>5.1</v>
      </c>
      <c r="J20" s="14" t="n">
        <v>0.118</v>
      </c>
      <c r="K20" s="13" t="n">
        <v>8.9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46271</v>
      </c>
      <c r="H21" s="13" t="n">
        <v>14.2</v>
      </c>
      <c r="I21" s="13" t="n">
        <v>1.3</v>
      </c>
      <c r="J21" s="14" t="n">
        <v>0.08</v>
      </c>
      <c r="K21" s="13" t="n">
        <v>1.136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12" t="n">
        <v>44499</v>
      </c>
      <c r="G22" s="12" t="n">
        <v>45208</v>
      </c>
      <c r="H22" s="13" t="n">
        <v>279.8</v>
      </c>
      <c r="I22" s="13" t="n">
        <v>10</v>
      </c>
      <c r="J22" s="14" t="n">
        <v>0.08599999999999999</v>
      </c>
      <c r="K22" s="13" t="n">
        <v>24.1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12.4</v>
      </c>
      <c r="L24" s="13" t="n">
        <v>0</v>
      </c>
      <c r="M24" s="15">
        <f>(K24+L24)/I24</f>
        <v/>
      </c>
      <c r="N24" s="13" t="n">
        <v>78.7</v>
      </c>
      <c r="O24" s="6" t="n">
        <v>0.75</v>
      </c>
      <c r="P24" s="6" t="n">
        <v>0.51</v>
      </c>
      <c r="Q24" s="16" t="n">
        <v>1.75</v>
      </c>
      <c r="R24" s="13" t="n">
        <v>29.7</v>
      </c>
      <c r="S24" s="17">
        <f>IF(AND(ISNUMBER(Q24),Q24&gt;0),R24/Q24,"-")</f>
        <v/>
      </c>
      <c r="T24" s="9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12" t="n">
        <v>45336</v>
      </c>
      <c r="G27" s="12" t="n">
        <v>45336</v>
      </c>
      <c r="H27" s="13" t="n">
        <v>9.300000000000001</v>
      </c>
      <c r="I27" s="13" t="n">
        <v>2.5</v>
      </c>
      <c r="J27" s="14" t="n">
        <v>0.116</v>
      </c>
      <c r="K27" s="13" t="n">
        <v>1.1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1.4</v>
      </c>
      <c r="L28" s="13" t="n">
        <v>0</v>
      </c>
      <c r="M28" s="15">
        <f>(K28+L28)/I28</f>
        <v/>
      </c>
      <c r="N28" s="13" t="n">
        <v>0.7</v>
      </c>
      <c r="O28" s="6" t="n">
        <v>2.7</v>
      </c>
      <c r="P28" s="6" t="n">
        <v>0.8100000000000001</v>
      </c>
      <c r="Q28" s="16" t="n">
        <v>0.3</v>
      </c>
      <c r="R28" s="13" t="n">
        <v>8.699999999999999</v>
      </c>
      <c r="S28" s="17">
        <f>IF(AND(ISNUMBER(Q28),Q28&gt;0),R28/Q28,"-")</f>
        <v/>
      </c>
      <c r="T28" s="9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46285</v>
      </c>
      <c r="H31" s="13" t="n">
        <v>3931</v>
      </c>
      <c r="I31" s="13" t="n">
        <v>20</v>
      </c>
      <c r="J31" s="14" t="n">
        <v>0.028</v>
      </c>
      <c r="K31" s="13" t="n">
        <v>114.8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1.5</v>
      </c>
      <c r="R37" s="13" t="n">
        <v>6.6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7.3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12" t="n">
        <v>44423</v>
      </c>
      <c r="G45" s="12" t="n">
        <v>45166</v>
      </c>
      <c r="H45" s="13" t="n">
        <v>22.8</v>
      </c>
      <c r="I45" s="13" t="n">
        <v>3.9</v>
      </c>
      <c r="J45" s="14" t="n">
        <v>0.095</v>
      </c>
      <c r="K45" s="13" t="n">
        <v>2.2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1</v>
      </c>
      <c r="L48" s="13" t="n">
        <v>0</v>
      </c>
      <c r="M48" s="15">
        <f>(K48+L48)/I48</f>
        <v/>
      </c>
      <c r="N48" s="13" t="n">
        <v>0.3</v>
      </c>
      <c r="O48" s="6" t="n">
        <v>2.88</v>
      </c>
      <c r="P48" s="6" t="n">
        <v>0.67</v>
      </c>
      <c r="Q48" s="16" t="n">
        <v>0.11</v>
      </c>
      <c r="R48" s="13" t="n">
        <v>2.1</v>
      </c>
      <c r="S48" s="17">
        <f>IF(AND(ISNUMBER(Q48),Q48&gt;0),R48/Q48,"-")</f>
        <v/>
      </c>
      <c r="T48" s="9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</v>
      </c>
      <c r="J51" s="14" t="n">
        <v>0.08400000000000001</v>
      </c>
      <c r="K51" s="13" t="n">
        <v>0.6</v>
      </c>
      <c r="L51" s="13" t="n">
        <v>0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12" t="n">
        <v>44566</v>
      </c>
      <c r="G56" s="12" t="n">
        <v>45060</v>
      </c>
      <c r="H56" s="13" t="n">
        <v>73.8</v>
      </c>
      <c r="I56" s="13" t="n">
        <v>6.1</v>
      </c>
      <c r="J56" s="14" t="n">
        <v>0.082</v>
      </c>
      <c r="K56" s="13" t="n">
        <v>6.6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45213</v>
      </c>
      <c r="H58" s="13" t="n">
        <v>631.7</v>
      </c>
      <c r="I58" s="13" t="n">
        <v>4</v>
      </c>
      <c r="J58" s="14" t="n">
        <v>0.042</v>
      </c>
      <c r="K58" s="13" t="n">
        <v>26.5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12" t="n">
        <v>44713</v>
      </c>
      <c r="G63" s="12" t="n">
        <v>45799</v>
      </c>
      <c r="H63" s="13" t="n">
        <v>63.6</v>
      </c>
      <c r="I63" s="13" t="n">
        <v>2</v>
      </c>
      <c r="J63" s="14" t="n">
        <v>0.06900000000000001</v>
      </c>
      <c r="K63" s="13" t="n">
        <v>4.4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</v>
      </c>
      <c r="J65" s="14" t="n">
        <v>0.054</v>
      </c>
      <c r="K65" s="13" t="n">
        <v>6.6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1.4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48.8</v>
      </c>
      <c r="L89" s="13" t="n">
        <v>0</v>
      </c>
      <c r="M89" s="15">
        <f>(K89+L89)/I89</f>
        <v/>
      </c>
      <c r="N89" s="13" t="n">
        <v>54.5</v>
      </c>
      <c r="O89" s="6" t="n">
        <v>0.72</v>
      </c>
      <c r="P89" s="6" t="n">
        <v>0.62</v>
      </c>
      <c r="Q89" s="16" t="n">
        <v>2.73</v>
      </c>
      <c r="R89" s="13" t="n">
        <v>50</v>
      </c>
      <c r="S89" s="17">
        <f>IF(AND(ISNUMBER(Q89),Q89&gt;0),R89/Q89,"-")</f>
        <v/>
      </c>
      <c r="T89" s="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6.99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12" t="n">
        <v>44637</v>
      </c>
      <c r="G100" s="12" t="n">
        <v>45923</v>
      </c>
      <c r="H100" s="13" t="n">
        <v>54.6</v>
      </c>
      <c r="I100" s="13" t="n">
        <v>3.7</v>
      </c>
      <c r="J100" s="14" t="n">
        <v>0.135</v>
      </c>
      <c r="K100" s="13" t="n">
        <v>7.4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46300</v>
      </c>
      <c r="B2" t="inlineStr">
        <is>
          <t>Gryphonel</t>
        </is>
      </c>
      <c r="C2" t="inlineStr">
        <is>
          <t>Acquisition (Closed)</t>
        </is>
      </c>
      <c r="D2" t="inlineStr">
        <is>
          <t>All-cash acquisition</t>
        </is>
      </c>
      <c r="E2" t="n">
        <v>133</v>
      </c>
      <c r="H2" t="n">
        <v>4.788</v>
      </c>
      <c r="I2" t="inlineStr">
        <is>
          <t>Regulatory approval received; transaction closed and cash received in full.</t>
        </is>
      </c>
    </row>
    <row r="3">
      <c r="A3" s="18" t="n">
        <v>46304</v>
      </c>
      <c r="B3" t="inlineStr">
        <is>
          <t>Cindral</t>
        </is>
      </c>
      <c r="C3" t="inlineStr">
        <is>
          <t>Distribution</t>
        </is>
      </c>
      <c r="D3" t="inlineStr">
        <is>
          <t>Escrow release</t>
        </is>
      </c>
      <c r="H3" t="n">
        <v>1.5</v>
      </c>
      <c r="I3" t="inlineStr">
        <is>
          <t>Escrow released 60 days after the August close.</t>
        </is>
      </c>
    </row>
    <row r="4">
      <c r="A4" s="18" t="n">
        <v>46307</v>
      </c>
      <c r="B4" t="inlineStr">
        <is>
          <t>Nimbrel</t>
        </is>
      </c>
      <c r="C4" t="inlineStr">
        <is>
          <t>Convertible Note</t>
        </is>
      </c>
      <c r="D4" t="inlineStr">
        <is>
          <t>$3.0M bridge note, $60.0M valuation cap</t>
        </is>
      </c>
      <c r="F4" t="n">
        <v>0.4</v>
      </c>
      <c r="I4" t="inlineStr">
        <is>
          <t>Uncapped interest, converts at next priced round. HC participated in the note.</t>
        </is>
      </c>
    </row>
    <row r="5">
      <c r="A5" s="18" t="n">
        <v>46309</v>
      </c>
      <c r="B5" t="inlineStr">
        <is>
          <t>Emberfold</t>
        </is>
      </c>
      <c r="C5" t="inlineStr">
        <is>
          <t>Priced Equity Round</t>
        </is>
      </c>
      <c r="D5" t="inlineStr">
        <is>
          <t>Series A</t>
        </is>
      </c>
      <c r="E5" t="inlineStr">
        <is>
          <t>€120.0M</t>
        </is>
      </c>
      <c r="G5" t="n">
        <v>0.065</v>
      </c>
      <c r="I5" t="inlineStr">
        <is>
          <t>$9.0M round led by a new investor. The bridge note rolled into the round at its $32.0M cap. HC did not participate.</t>
        </is>
      </c>
    </row>
    <row r="6">
      <c r="A6" s="18" t="n">
        <v>46315</v>
      </c>
      <c r="B6" t="inlineStr">
        <is>
          <t>Duskfern</t>
        </is>
      </c>
      <c r="C6" t="inlineStr">
        <is>
          <t>Priced Equity Round</t>
        </is>
      </c>
      <c r="D6" t="inlineStr">
        <is>
          <t>Series B</t>
        </is>
      </c>
      <c r="E6" t="n">
        <v>150</v>
      </c>
      <c r="F6" t="n">
        <v>1</v>
      </c>
      <c r="G6" t="n">
        <v>0.089</v>
      </c>
      <c r="I6" t="inlineStr">
        <is>
          <t>$25.0M round led by a new investor. HC participated; the bridge note rolled into the round.</t>
        </is>
      </c>
    </row>
    <row r="7">
      <c r="A7" s="18" t="n">
        <v>46328</v>
      </c>
      <c r="B7" t="inlineStr">
        <is>
          <t>Halcyra</t>
        </is>
      </c>
      <c r="C7" t="inlineStr">
        <is>
          <t>Priced Equity Round</t>
        </is>
      </c>
      <c r="D7" t="inlineStr">
        <is>
          <t>Series B</t>
        </is>
      </c>
      <c r="E7" t="n">
        <v>50</v>
      </c>
      <c r="G7" t="n">
        <v>0.07099999999999999</v>
      </c>
      <c r="I7" t="inlineStr">
        <is>
          <t>$12.0M round led by a new investor at the term-sheet price. HC did not participate.</t>
        </is>
      </c>
    </row>
    <row r="8">
      <c r="A8" s="18" t="n">
        <v>46331</v>
      </c>
      <c r="B8" t="inlineStr">
        <is>
          <t>Fernwave</t>
        </is>
      </c>
      <c r="C8" t="inlineStr">
        <is>
          <t>Secondary Sale</t>
        </is>
      </c>
      <c r="D8" t="inlineStr">
        <is>
          <t>HC sold 25% of its position</t>
        </is>
      </c>
      <c r="E8" t="n">
        <v>1929.795</v>
      </c>
      <c r="G8" t="n">
        <v>0.03</v>
      </c>
      <c r="H8" t="n">
        <v>19.298</v>
      </c>
      <c r="I8" t="inlineStr">
        <is>
          <t>Buyer paid 5.0% above the Series D price.</t>
        </is>
      </c>
    </row>
    <row r="9">
      <c r="A9" s="18" t="n">
        <v>46332</v>
      </c>
      <c r="B9" t="inlineStr">
        <is>
          <t>Ironquill Security</t>
        </is>
      </c>
      <c r="C9" t="inlineStr">
        <is>
          <t>Secondary Sale</t>
        </is>
      </c>
      <c r="D9" t="inlineStr">
        <is>
          <t>HC sold 20% of its position</t>
        </is>
      </c>
      <c r="E9" t="n">
        <v>803.1742</v>
      </c>
      <c r="G9" t="n">
        <v>0.03</v>
      </c>
      <c r="H9" t="n">
        <v>6.4254</v>
      </c>
      <c r="I9" t="inlineStr">
        <is>
          <t>Buyer paid 5.1% above the Series D price.</t>
        </is>
      </c>
    </row>
    <row r="10">
      <c r="A10" s="18" t="n">
        <v>46336</v>
      </c>
      <c r="B10" t="inlineStr">
        <is>
          <t>Umberly</t>
        </is>
      </c>
      <c r="C10" t="inlineStr">
        <is>
          <t>Priced Equity Round</t>
        </is>
      </c>
      <c r="D10" t="inlineStr">
        <is>
          <t>Series C (down round)</t>
        </is>
      </c>
      <c r="E10" t="n">
        <v>180</v>
      </c>
      <c r="G10" t="n">
        <v>0.075</v>
      </c>
      <c r="I10" t="inlineStr">
        <is>
          <t>$30.0M round led by a new investor at a lower price than the Series B. HC did not participate.</t>
        </is>
      </c>
    </row>
    <row r="11">
      <c r="A11" s="18" t="n">
        <v>46338</v>
      </c>
      <c r="B11" t="inlineStr">
        <is>
          <t>Quillbrook Labs</t>
        </is>
      </c>
      <c r="C11" t="inlineStr">
        <is>
          <t>New Investment</t>
        </is>
      </c>
      <c r="D11" t="inlineStr">
        <is>
          <t>Seed — Fund III, Cybersecurity</t>
        </is>
      </c>
      <c r="E11" t="n">
        <v>18</v>
      </c>
      <c r="F11" t="n">
        <v>1.5</v>
      </c>
      <c r="G11" t="n">
        <v>0.083</v>
      </c>
      <c r="I11" t="inlineStr">
        <is>
          <t>First cheque from Fund III into a Cybersecurity seed round.</t>
        </is>
      </c>
    </row>
    <row r="12">
      <c r="A12" s="18" t="n">
        <v>46344</v>
      </c>
      <c r="B12" t="inlineStr">
        <is>
          <t>Beltrix</t>
        </is>
      </c>
      <c r="C12" t="inlineStr">
        <is>
          <t>Shutdown</t>
        </is>
      </c>
      <c r="D12" t="inlineStr">
        <is>
          <t>Ceased operations</t>
        </is>
      </c>
      <c r="H12" t="n">
        <v>0.2</v>
      </c>
      <c r="I12" t="inlineStr">
        <is>
          <t>Board voted to wind down. Residual cash distributed to investors.</t>
        </is>
      </c>
    </row>
    <row r="13">
      <c r="A13" s="18" t="n">
        <v>46346</v>
      </c>
      <c r="B13" t="inlineStr">
        <is>
          <t>Underbough</t>
        </is>
      </c>
      <c r="C13" t="inlineStr">
        <is>
          <t>Shutdown</t>
        </is>
      </c>
      <c r="D13" t="inlineStr">
        <is>
          <t>Ceased operations</t>
        </is>
      </c>
      <c r="I13" t="inlineStr">
        <is>
          <t>Board voted to wind down. No recovery expected.</t>
        </is>
      </c>
    </row>
    <row r="14">
      <c r="A14" s="18" t="n">
        <v>46350</v>
      </c>
      <c r="B14" t="inlineStr">
        <is>
          <t>Jettamar</t>
        </is>
      </c>
      <c r="C14" t="inlineStr">
        <is>
          <t>Acquisition (Announced)</t>
        </is>
      </c>
      <c r="D14" t="inlineStr">
        <is>
          <t>Definitive agreement signed, all cash</t>
        </is>
      </c>
      <c r="E14" t="n">
        <v>90</v>
      </c>
      <c r="I14" t="inlineStr">
        <is>
          <t>Expected to close in Q1 2027, subject to regulatory approval. No cash received.</t>
        </is>
      </c>
    </row>
    <row r="15">
      <c r="A15" s="18" t="n">
        <v>46357</v>
      </c>
      <c r="B15" t="inlineStr">
        <is>
          <t>Dovelane Systems</t>
        </is>
      </c>
      <c r="C15" t="inlineStr">
        <is>
          <t>Term Sheet Signed</t>
        </is>
      </c>
      <c r="D15" t="inlineStr">
        <is>
          <t>Series C term sheet at ~$83.04M post</t>
        </is>
      </c>
      <c r="E15" t="n">
        <v>83.04000000000001</v>
      </c>
      <c r="I15" t="inlineStr">
        <is>
          <t>Not closed; diligence underway, expected to close Q1.</t>
        </is>
      </c>
    </row>
    <row r="16">
      <c r="A16" s="18" t="n">
        <v>46358</v>
      </c>
      <c r="B16" t="inlineStr">
        <is>
          <t>Aravine</t>
        </is>
      </c>
      <c r="C16" t="inlineStr">
        <is>
          <t>Term Sheet Signed</t>
        </is>
      </c>
      <c r="D16" t="inlineStr">
        <is>
          <t>Series C term sheet at ~$103.0M post</t>
        </is>
      </c>
      <c r="E16" t="n">
        <v>103</v>
      </c>
      <c r="I16" t="inlineStr">
        <is>
          <t>Not closed; expected to close Q1.</t>
        </is>
      </c>
    </row>
    <row r="17">
      <c r="A17" s="18" t="n">
        <v>46360</v>
      </c>
      <c r="B17" t="inlineStr">
        <is>
          <t>Marrowick Bio</t>
        </is>
      </c>
      <c r="C17" t="inlineStr">
        <is>
          <t>Ownership Adjustment</t>
        </is>
      </c>
      <c r="D17" t="inlineStr">
        <is>
          <t>Warrant exercise</t>
        </is>
      </c>
      <c r="F17" t="n">
        <v>0.1</v>
      </c>
      <c r="G17" t="n">
        <v>0.019</v>
      </c>
      <c r="I17" t="inlineStr">
        <is>
          <t>HC exercised the warrants attached to the Series B.</t>
        </is>
      </c>
    </row>
    <row r="18">
      <c r="A18" s="18" t="n">
        <v>46364</v>
      </c>
      <c r="B18" t="inlineStr">
        <is>
          <t>Wildebrook</t>
        </is>
      </c>
      <c r="C18" t="inlineStr">
        <is>
          <t>Priced Equity Round</t>
        </is>
      </c>
      <c r="D18" t="inlineStr">
        <is>
          <t>Series B</t>
        </is>
      </c>
      <c r="E18" t="n">
        <v>120</v>
      </c>
      <c r="G18" t="n">
        <v>0.108</v>
      </c>
      <c r="I18" t="inlineStr">
        <is>
          <t>$25.0M round led by a new investor. HC did not participate.</t>
        </is>
      </c>
    </row>
    <row r="19">
      <c r="A19" s="18" t="n">
        <v>46366</v>
      </c>
      <c r="B19" t="inlineStr">
        <is>
          <t>Solvantra</t>
        </is>
      </c>
      <c r="C19" t="inlineStr">
        <is>
          <t>Priced Equity Round</t>
        </is>
      </c>
      <c r="D19" t="inlineStr">
        <is>
          <t>Series B</t>
        </is>
      </c>
      <c r="E19" t="n">
        <v>150</v>
      </c>
      <c r="F19" t="n">
        <v>1.65</v>
      </c>
      <c r="G19" t="n">
        <v>0.128</v>
      </c>
      <c r="I19" t="inlineStr">
        <is>
          <t>$30.0M round led by a new investor. HC participated.</t>
        </is>
      </c>
    </row>
    <row r="20">
      <c r="A20" s="18" t="n">
        <v>46368</v>
      </c>
      <c r="B20" t="inlineStr">
        <is>
          <t>Kilnbrook</t>
        </is>
      </c>
      <c r="C20" t="inlineStr">
        <is>
          <t>Priced Equity Round</t>
        </is>
      </c>
      <c r="D20" t="inlineStr">
        <is>
          <t>Series B</t>
        </is>
      </c>
      <c r="E20" t="n">
        <v>120</v>
      </c>
      <c r="F20" t="n">
        <v>1.2</v>
      </c>
      <c r="G20" t="n">
        <v>0.078</v>
      </c>
      <c r="I20" t="inlineStr">
        <is>
          <t>$24.0M round led by a new investor. HC participated.</t>
        </is>
      </c>
    </row>
    <row r="21">
      <c r="A21" s="18" t="n">
        <v>46371</v>
      </c>
      <c r="B21" t="inlineStr">
        <is>
          <t>Nimbrel</t>
        </is>
      </c>
      <c r="C21" t="inlineStr">
        <is>
          <t>Priced Equity Round</t>
        </is>
      </c>
      <c r="D21" t="inlineStr">
        <is>
          <t>Series B</t>
        </is>
      </c>
      <c r="E21" t="n">
        <v>70</v>
      </c>
      <c r="F21" t="n">
        <v>0.6</v>
      </c>
      <c r="G21" t="n">
        <v>0.077</v>
      </c>
      <c r="I21" t="inlineStr">
        <is>
          <t>$15.0M round led by a new investor. HC participated; the bridge note rolled into the round at its cap.</t>
        </is>
      </c>
    </row>
    <row r="22">
      <c r="A22" s="18" t="n">
        <v>46374</v>
      </c>
      <c r="B22" t="inlineStr">
        <is>
          <t>Yarrowbank</t>
        </is>
      </c>
      <c r="C22" t="inlineStr">
        <is>
          <t>Convertible Note</t>
        </is>
      </c>
      <c r="D22" t="inlineStr">
        <is>
          <t>$1.0M bridge note, $45.0M valuation cap</t>
        </is>
      </c>
      <c r="F22" t="n">
        <v>0.3</v>
      </c>
      <c r="I22" t="inlineStr">
        <is>
          <t>Uncapped interest, converts at next priced round. HC participated in the note.</t>
        </is>
      </c>
    </row>
    <row r="23">
      <c r="A23" s="18" t="n">
        <v>46376</v>
      </c>
      <c r="B23" t="inlineStr">
        <is>
          <t>Pinwhistle</t>
        </is>
      </c>
      <c r="C23" t="inlineStr">
        <is>
          <t>Acquisition (Announced)</t>
        </is>
      </c>
      <c r="D23" t="inlineStr">
        <is>
          <t>Definitive agreement signed, all cash</t>
        </is>
      </c>
      <c r="E23" t="n">
        <v>60</v>
      </c>
      <c r="I23" t="inlineStr">
        <is>
          <t>Expected to close in Q1 2027. No cash received.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Emberfold</t>
        </is>
      </c>
      <c r="B2" t="inlineStr">
        <is>
          <t>convertible_note</t>
        </is>
      </c>
      <c r="C2" s="19" t="n">
        <v>46257</v>
      </c>
      <c r="D2" t="inlineStr">
        <is>
          <t>Q3 2026</t>
        </is>
      </c>
      <c r="E2" s="19" t="n"/>
      <c r="G2" t="inlineStr">
        <is>
          <t>$8.5M bridge note, $32.0M valuation cap (HC did not participate)</t>
        </is>
      </c>
      <c r="H2" t="n">
        <v>0</v>
      </c>
      <c r="I2" t="inlineStr">
        <is>
          <t>no</t>
        </is>
      </c>
    </row>
    <row r="3">
      <c r="A3" t="inlineStr">
        <is>
          <t>Gryphonel</t>
        </is>
      </c>
      <c r="B3" t="inlineStr">
        <is>
          <t>pending_acquisition</t>
        </is>
      </c>
      <c r="C3" s="19" t="n">
        <v>46273</v>
      </c>
      <c r="D3" t="inlineStr">
        <is>
          <t>Q3 2026</t>
        </is>
      </c>
      <c r="E3" s="19" t="n"/>
      <c r="F3" t="n">
        <v>133</v>
      </c>
      <c r="G3" t="inlineStr">
        <is>
          <t>Expected to close in Q4 2026, subject to regulatory approval. No cash received.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term_sheet</t>
        </is>
      </c>
      <c r="C4" s="19" t="n">
        <v>46282</v>
      </c>
      <c r="D4" t="inlineStr">
        <is>
          <t>Q3 2026</t>
        </is>
      </c>
      <c r="E4" s="19" t="n"/>
      <c r="F4" t="n">
        <v>50</v>
      </c>
      <c r="G4" t="inlineStr">
        <is>
          <t>Not closed; diligence underway, expected to close Q4.</t>
        </is>
      </c>
      <c r="H4" t="n">
        <v>0</v>
      </c>
      <c r="I4" t="inlineStr">
        <is>
          <t>no</t>
        </is>
      </c>
    </row>
    <row r="5">
      <c r="A5" t="inlineStr">
        <is>
          <t>Drayvenn</t>
        </is>
      </c>
      <c r="B5" t="inlineStr">
        <is>
          <t>ipo_lockup</t>
        </is>
      </c>
      <c r="C5" s="19" t="n">
        <v>46285</v>
      </c>
      <c r="D5" t="inlineStr">
        <is>
          <t>Q3 2026</t>
        </is>
      </c>
      <c r="E5" s="19" t="n">
        <v>46465</v>
      </c>
      <c r="G5" t="inlineStr">
        <is>
          <t>180-day lock-up; 2.8% of listed equity</t>
        </is>
      </c>
      <c r="H5" t="n">
        <v>0</v>
      </c>
      <c r="I5" t="inlineStr">
        <is>
          <t>no</t>
        </is>
      </c>
    </row>
    <row r="6">
      <c r="A6" t="inlineStr">
        <is>
          <t>Duskfern</t>
        </is>
      </c>
      <c r="B6" t="inlineStr">
        <is>
          <t>convertible_note</t>
        </is>
      </c>
      <c r="C6" s="19" t="n">
        <v>46262</v>
      </c>
      <c r="D6" t="inlineStr">
        <is>
          <t>Q3 2026</t>
        </is>
      </c>
      <c r="E6" s="19" t="n"/>
      <c r="F6" t="n">
        <v>0.5</v>
      </c>
      <c r="G6" t="inlineStr">
        <is>
          <t>$4.7M bridge note, $133.0M valuation cap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Gryphonel</t>
        </is>
      </c>
      <c r="B2" t="inlineStr">
        <is>
          <t>Prior Mark $4.66M departs from ownership × last-round post-money (3.6% × $97.00M = $3.49M): committee override booked $4.66M vs proposed $4.66M (E-01); equity mark $4.66M set by M-050, not ownership × last round.</t>
        </is>
      </c>
    </row>
    <row r="3">
      <c r="A3" t="inlineStr">
        <is>
          <t>Drayvenn</t>
        </is>
      </c>
      <c r="B3" t="inlineStr">
        <is>
          <t>Prior Mark $114.80M departs from ownership × last-round post-money (2.8% × $3931.00M = $110.07M): committee override booked $114.80M vs proposed $110.07M (E-01).</t>
        </is>
      </c>
    </row>
    <row r="4">
      <c r="A4" t="inlineStr">
        <is>
          <t>Birchhollow</t>
        </is>
      </c>
      <c r="B4" t="inlineStr">
        <is>
          <t>Prior Mark $28.14M departs from ownership × last-round post-money (2.9% × $1494.50M = $43.34M): committee override booked $28.14M vs proposed $43.30M (E-01).</t>
        </is>
      </c>
    </row>
    <row r="5">
      <c r="A5" t="inlineStr">
        <is>
          <t>Duskfern</t>
        </is>
      </c>
      <c r="B5" t="inlineStr">
        <is>
          <t>Prior Mark $6.60M departs from ownership × last-round post-money (8.2% × $73.80M = $6.05M): note leg $0.50M carried at cost (M-060); committee override booked $6.60M vs proposed $6.60M (E-01).</t>
        </is>
      </c>
    </row>
    <row r="6">
      <c r="A6" t="inlineStr">
        <is>
          <t>Pellagrin</t>
        </is>
      </c>
      <c r="B6" t="inlineStr">
        <is>
          <t>same-terms extension on 2026-08-11 is not price discovery; the staleness clock runs from 2021-10-08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Vellichor Systems</t>
        </is>
      </c>
      <c r="B2" t="inlineStr">
        <is>
          <t>ARR Growth (YoY %)</t>
        </is>
      </c>
      <c r="C2" t="n">
        <v>-0.11</v>
      </c>
      <c r="D2" t="n">
        <v>-0.15</v>
      </c>
      <c r="E2" t="inlineStr">
        <is>
          <t>ARR growth exactly at the -15% REVIEW threshold (boundary: strict '&lt;' means MONITOR only)</t>
        </is>
      </c>
    </row>
    <row r="3">
      <c r="A3" t="inlineStr">
        <is>
          <t>Zealwick</t>
        </is>
      </c>
      <c r="B3" t="inlineStr">
        <is>
          <t>Cash ($M)</t>
        </is>
      </c>
      <c r="C3" t="n">
        <v>7.7</v>
      </c>
      <c r="D3" t="n">
        <v>3.5</v>
      </c>
      <c r="E3" t="inlineStr">
        <is>
          <t>with burn 0.5 → runway 7.0, aged 6.0: exactly at the 6-month REVIEW threshold (boundary)</t>
        </is>
      </c>
    </row>
    <row r="4">
      <c r="A4" t="inlineStr">
        <is>
          <t>Zealwick</t>
        </is>
      </c>
      <c r="B4" t="inlineStr">
        <is>
          <t>Net Burn ($M/mo)</t>
        </is>
      </c>
      <c r="C4" t="n">
        <v>0.61</v>
      </c>
      <c r="D4" t="n">
        <v>0.5</v>
      </c>
      <c r="E4" t="inlineStr">
        <is>
          <t>see above</t>
        </is>
      </c>
    </row>
    <row r="5">
      <c r="A5" t="inlineStr">
        <is>
          <t>Northquill</t>
        </is>
      </c>
      <c r="B5" t="inlineStr">
        <is>
          <t>Cash ($M)</t>
        </is>
      </c>
      <c r="C5" t="n">
        <v>5.6</v>
      </c>
      <c r="D5" t="n">
        <v>6.99</v>
      </c>
      <c r="E5" t="inlineStr">
        <is>
          <t>with burn 1.0 → runway 6.99, aged 5.99: just inside REVIEW</t>
        </is>
      </c>
    </row>
    <row r="6">
      <c r="A6" t="inlineStr">
        <is>
          <t>Northquill</t>
        </is>
      </c>
      <c r="B6" t="inlineStr">
        <is>
          <t>Net Burn ($M/mo)</t>
        </is>
      </c>
      <c r="C6" t="n">
        <v>0.6899999999999999</v>
      </c>
      <c r="D6" t="n">
        <v>1</v>
      </c>
      <c r="E6" t="inlineStr">
        <is>
          <t>see above</t>
        </is>
      </c>
    </row>
    <row r="7">
      <c r="A7" t="inlineStr">
        <is>
          <t>Isoquill</t>
        </is>
      </c>
      <c r="B7" t="inlineStr">
        <is>
          <t>ARR Growth (YoY %)</t>
        </is>
      </c>
      <c r="C7" t="n">
        <v>0.78</v>
      </c>
      <c r="D7" t="n">
        <v>-0.2</v>
      </c>
      <c r="E7" t="inlineStr">
        <is>
          <t>no activity, round crosses 48 months in the quarter AND ARR shrinking: two REVIEW families</t>
        </is>
      </c>
    </row>
    <row r="8">
      <c r="A8" t="inlineStr">
        <is>
          <t>Umberly</t>
        </is>
      </c>
      <c r="B8" t="inlineStr">
        <is>
          <t>Cash ($M)</t>
        </is>
      </c>
      <c r="C8" t="n">
        <v>5.6</v>
      </c>
      <c r="D8" t="n">
        <v>4.1</v>
      </c>
      <c r="E8" t="inlineStr">
        <is>
          <t>unchanged runway (3.1 months) so the down round is named on the runway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2026-09-07T09:44:19Z</dcterms:created>
  <dcterms:modified xsi:type="dcterms:W3CDTF">2026-09-07T09:44:42Z</dcterms:modified>
</cp:coreProperties>
</file>