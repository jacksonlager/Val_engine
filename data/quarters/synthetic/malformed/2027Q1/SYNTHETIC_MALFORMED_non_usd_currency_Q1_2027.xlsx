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1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B</t>
        </is>
      </c>
      <c r="E2" t="inlineStr">
        <is>
          <t>Active</t>
        </is>
      </c>
      <c r="F2" s="12" t="n">
        <v>43834</v>
      </c>
      <c r="G2" s="12" t="n">
        <v>46258</v>
      </c>
      <c r="H2" s="13" t="n">
        <v>128.5</v>
      </c>
      <c r="I2" s="13" t="n">
        <v>6</v>
      </c>
      <c r="J2" s="14" t="n">
        <v>0.108</v>
      </c>
      <c r="K2" s="13" t="n">
        <v>13.878</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Series D</t>
        </is>
      </c>
      <c r="E7" t="inlineStr">
        <is>
          <t>Active</t>
        </is>
      </c>
      <c r="F7" s="12" t="n">
        <v>43876</v>
      </c>
      <c r="G7" s="12" t="n">
        <v>46238</v>
      </c>
      <c r="H7" s="13" t="n">
        <v>1837.9</v>
      </c>
      <c r="I7" s="13" t="n">
        <v>10.3</v>
      </c>
      <c r="J7" s="14" t="n">
        <v>0.03</v>
      </c>
      <c r="K7" s="13" t="n">
        <v>55.137</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Series B</t>
        </is>
      </c>
      <c r="E9" t="inlineStr">
        <is>
          <t>Active</t>
        </is>
      </c>
      <c r="F9" s="12" t="n">
        <v>43666</v>
      </c>
      <c r="G9" s="12" t="n">
        <v>46328</v>
      </c>
      <c r="H9" s="13" t="n">
        <v>50</v>
      </c>
      <c r="I9" s="13" t="n">
        <v>2</v>
      </c>
      <c r="J9" s="14" t="n">
        <v>0.07099999999999999</v>
      </c>
      <c r="K9" s="13" t="n">
        <v>3.55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Seed</t>
        </is>
      </c>
      <c r="E13" t="inlineStr">
        <is>
          <t>Active</t>
        </is>
      </c>
      <c r="F13" s="12" t="n">
        <v>46096</v>
      </c>
      <c r="G13" s="12" t="n">
        <v>46096</v>
      </c>
      <c r="H13" s="13" t="n">
        <v>4.3</v>
      </c>
      <c r="I13" s="13" t="n">
        <v>0.5</v>
      </c>
      <c r="J13" s="14" t="n">
        <v>0.099</v>
      </c>
      <c r="K13" s="13" t="n">
        <v>0.4</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46245</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46271</v>
      </c>
      <c r="H21" s="13" t="n">
        <v>14.2</v>
      </c>
      <c r="I21" s="13" t="n">
        <v>1.3</v>
      </c>
      <c r="J21" s="14" t="n">
        <v>0.08</v>
      </c>
      <c r="K21" s="13" t="n">
        <v>1.136</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24.1</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Active</t>
        </is>
      </c>
      <c r="F24" s="12" t="n">
        <v>43791</v>
      </c>
      <c r="G24" s="12" t="n">
        <v>44980</v>
      </c>
      <c r="H24" s="13" t="n">
        <v>562.1</v>
      </c>
      <c r="I24" s="13" t="n">
        <v>6</v>
      </c>
      <c r="J24" s="14" t="n">
        <v>0.022</v>
      </c>
      <c r="K24" s="13" t="n">
        <v>12.4</v>
      </c>
      <c r="L24" s="13" t="n">
        <v>0</v>
      </c>
      <c r="M24" s="15">
        <f>(K24+L24)/I24</f>
        <v/>
      </c>
      <c r="N24" s="13" t="n">
        <v>78.7</v>
      </c>
      <c r="O24" s="6" t="n">
        <v>0.75</v>
      </c>
      <c r="P24" s="6" t="n">
        <v>0.51</v>
      </c>
      <c r="Q24" s="16" t="n">
        <v>1.75</v>
      </c>
      <c r="R24" s="13" t="n">
        <v>29.7</v>
      </c>
      <c r="S24" s="17">
        <f>IF(AND(ISNUMBER(Q24),Q24&gt;0),R24/Q24,"-")</f>
        <v/>
      </c>
      <c r="T24" s="9" t="n">
        <v>482</v>
      </c>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Seed</t>
        </is>
      </c>
      <c r="E27" t="inlineStr">
        <is>
          <t>Active</t>
        </is>
      </c>
      <c r="F27" s="12" t="n">
        <v>45336</v>
      </c>
      <c r="G27" s="12" t="n">
        <v>45336</v>
      </c>
      <c r="H27" s="13" t="n">
        <v>9.300000000000001</v>
      </c>
      <c r="I27" s="13" t="n">
        <v>2.5</v>
      </c>
      <c r="J27" s="14" t="n">
        <v>0.116</v>
      </c>
      <c r="K27" s="13" t="n">
        <v>1.1</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Active</t>
        </is>
      </c>
      <c r="F28" s="12" t="n">
        <v>45240</v>
      </c>
      <c r="G28" s="12" t="n">
        <v>45240</v>
      </c>
      <c r="H28" s="13" t="n">
        <v>21.2</v>
      </c>
      <c r="I28" s="13" t="n">
        <v>1.5</v>
      </c>
      <c r="J28" s="14" t="n">
        <v>0.064</v>
      </c>
      <c r="K28" s="13" t="n">
        <v>1.4</v>
      </c>
      <c r="L28" s="13" t="n">
        <v>0</v>
      </c>
      <c r="M28" s="15">
        <f>(K28+L28)/I28</f>
        <v/>
      </c>
      <c r="N28" s="13" t="n">
        <v>0.7</v>
      </c>
      <c r="O28" s="6" t="n">
        <v>2.7</v>
      </c>
      <c r="P28" s="6" t="n">
        <v>0.8100000000000001</v>
      </c>
      <c r="Q28" s="16" t="n">
        <v>0.3</v>
      </c>
      <c r="R28" s="13" t="n">
        <v>8.699999999999999</v>
      </c>
      <c r="S28" s="17">
        <f>IF(AND(ISNUMBER(Q28),Q28&gt;0),R28/Q28,"-")</f>
        <v/>
      </c>
      <c r="T28" s="9" t="n">
        <v>21</v>
      </c>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46387</v>
      </c>
      <c r="H31" s="13" t="n">
        <v>3931</v>
      </c>
      <c r="I31" s="13" t="n">
        <v>20</v>
      </c>
      <c r="J31" s="14" t="n">
        <v>0.028</v>
      </c>
      <c r="K31" s="13" t="n">
        <v>103.6</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5.212</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A</t>
        </is>
      </c>
      <c r="E45" t="inlineStr">
        <is>
          <t>Active</t>
        </is>
      </c>
      <c r="F45" s="12" t="n">
        <v>44423</v>
      </c>
      <c r="G45" s="12" t="n">
        <v>45166</v>
      </c>
      <c r="H45" s="13" t="n">
        <v>22.8</v>
      </c>
      <c r="I45" s="13" t="n">
        <v>3.9</v>
      </c>
      <c r="J45" s="14" t="n">
        <v>0.095</v>
      </c>
      <c r="K45" s="13" t="n">
        <v>2.2</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0.9</v>
      </c>
      <c r="L51" s="13" t="n">
        <v>0</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45213</v>
      </c>
      <c r="H58" s="13" t="n">
        <v>631.7</v>
      </c>
      <c r="I58" s="13" t="n">
        <v>4</v>
      </c>
      <c r="J58" s="14" t="n">
        <v>0.042</v>
      </c>
      <c r="K58" s="13" t="n">
        <v>26.5</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v>
      </c>
      <c r="J65" s="14" t="n">
        <v>0.054</v>
      </c>
      <c r="K65" s="13" t="n">
        <v>6.6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1.4</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6.99</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Seed</t>
        </is>
      </c>
      <c r="E102" t="inlineStr">
        <is>
          <t>Active</t>
        </is>
      </c>
      <c r="F102" s="12" t="n">
        <v>46338</v>
      </c>
      <c r="G102" s="12" t="n">
        <v>46338</v>
      </c>
      <c r="H102" s="13" t="n">
        <v>18</v>
      </c>
      <c r="I102" s="13" t="n">
        <v>1.5</v>
      </c>
      <c r="J102" s="14" t="n">
        <v>0.083</v>
      </c>
      <c r="K102" s="13" t="n">
        <v>1.494</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46395</v>
      </c>
      <c r="B2" t="inlineStr">
        <is>
          <t>Fernwave</t>
        </is>
      </c>
      <c r="C2" t="inlineStr">
        <is>
          <t>IPO</t>
        </is>
      </c>
      <c r="D2" t="inlineStr">
        <is>
          <t>Listed on NYSE</t>
        </is>
      </c>
      <c r="E2" t="n">
        <v>2400</v>
      </c>
      <c r="G2" t="n">
        <v>0.03</v>
      </c>
      <c r="I2" t="inlineStr">
        <is>
          <t>Priced at the top of the range. HC shares subject to a 180-day lock-up.</t>
        </is>
      </c>
    </row>
    <row r="3">
      <c r="A3" s="18" t="n">
        <v>46399</v>
      </c>
      <c r="B3" t="inlineStr">
        <is>
          <t>Umberly</t>
        </is>
      </c>
      <c r="C3" t="inlineStr">
        <is>
          <t>Bankruptcy (Chapter 11)</t>
        </is>
      </c>
      <c r="D3" t="inlineStr">
        <is>
          <t>Filed for Chapter 11 reorganisation</t>
        </is>
      </c>
      <c r="I3" t="inlineStr">
        <is>
          <t>Debtor-in-possession financing from existing lenders; plan of reorganisation expected in Q2.</t>
        </is>
      </c>
    </row>
    <row r="4">
      <c r="A4" s="18" t="n">
        <v>46402</v>
      </c>
      <c r="B4" t="inlineStr">
        <is>
          <t>Pinwhistle</t>
        </is>
      </c>
      <c r="C4" t="inlineStr">
        <is>
          <t>Acquisition (Terminated)</t>
        </is>
      </c>
      <c r="D4" t="inlineStr">
        <is>
          <t>Buyer walked away</t>
        </is>
      </c>
      <c r="I4" t="inlineStr">
        <is>
          <t>Regulatory approval denied; the agreement was terminated.</t>
        </is>
      </c>
    </row>
    <row r="5">
      <c r="A5" s="18" t="n">
        <v>46407</v>
      </c>
      <c r="B5" t="inlineStr">
        <is>
          <t>Halcyra</t>
        </is>
      </c>
      <c r="C5" t="inlineStr">
        <is>
          <t>Acquisition (Closed)</t>
        </is>
      </c>
      <c r="D5" t="inlineStr">
        <is>
          <t>Acquired for stock of the buyer</t>
        </is>
      </c>
      <c r="E5" t="n">
        <v>65</v>
      </c>
      <c r="I5" t="inlineStr">
        <is>
          <t>All-stock consideration; the buyer is privately held.</t>
        </is>
      </c>
    </row>
    <row r="6">
      <c r="A6" s="18" t="n">
        <v>46413</v>
      </c>
      <c r="B6" t="inlineStr">
        <is>
          <t>Yarrowbank</t>
        </is>
      </c>
      <c r="C6" t="inlineStr">
        <is>
          <t>Note Repaid</t>
        </is>
      </c>
      <c r="D6" t="inlineStr">
        <is>
          <t>Bridge note repaid with interest</t>
        </is>
      </c>
      <c r="H6" t="n">
        <v>0.31</v>
      </c>
      <c r="I6" t="inlineStr">
        <is>
          <t>Company repaid the note from operating cash.</t>
        </is>
      </c>
    </row>
    <row r="7">
      <c r="A7" s="18" t="n">
        <v>46421</v>
      </c>
      <c r="B7" t="inlineStr">
        <is>
          <t>Mirthstone</t>
        </is>
      </c>
      <c r="C7" t="inlineStr">
        <is>
          <t>Secondary Purchase</t>
        </is>
      </c>
      <c r="D7" t="inlineStr">
        <is>
          <t>HC bought from a departing angel</t>
        </is>
      </c>
      <c r="E7" t="n">
        <v>122.5</v>
      </c>
      <c r="F7" t="n">
        <v>0.245</v>
      </c>
      <c r="G7" t="n">
        <v>0.056</v>
      </c>
      <c r="I7" t="inlineStr">
        <is>
          <t>Bought at the Series B price.</t>
        </is>
      </c>
    </row>
    <row r="8">
      <c r="A8" s="18" t="n">
        <v>46428</v>
      </c>
      <c r="B8" t="inlineStr">
        <is>
          <t>Foxtrellis</t>
        </is>
      </c>
      <c r="C8" t="inlineStr">
        <is>
          <t>Priced Equity Round</t>
        </is>
      </c>
      <c r="D8" t="inlineStr">
        <is>
          <t>Series B extension (same terms)</t>
        </is>
      </c>
      <c r="E8" t="inlineStr">
        <is>
          <t>€120.0M</t>
        </is>
      </c>
      <c r="F8" t="n">
        <v>0.5</v>
      </c>
      <c r="G8" t="n">
        <v>0.043</v>
      </c>
      <c r="I8" t="inlineStr">
        <is>
          <t>Extension of the prior round at the same post-money.</t>
        </is>
      </c>
    </row>
    <row r="9">
      <c r="A9" s="18" t="n">
        <v>46432</v>
      </c>
      <c r="B9" t="inlineStr">
        <is>
          <t>Tarnwick Aerospace</t>
        </is>
      </c>
      <c r="C9" t="inlineStr">
        <is>
          <t>Priced Equity Round</t>
        </is>
      </c>
      <c r="D9" t="inlineStr">
        <is>
          <t>Series A-1 (recap)</t>
        </is>
      </c>
      <c r="E9" t="n">
        <v>9</v>
      </c>
      <c r="F9" t="n">
        <v>0.2</v>
      </c>
      <c r="G9" t="n">
        <v>0.095</v>
      </c>
      <c r="I9" t="inlineStr">
        <is>
          <t>$2.0M insider-led round. HC participated.</t>
        </is>
      </c>
    </row>
    <row r="10">
      <c r="A10" s="18" t="n">
        <v>46436</v>
      </c>
      <c r="B10" t="inlineStr">
        <is>
          <t>Arcfoundry</t>
        </is>
      </c>
      <c r="C10" t="inlineStr">
        <is>
          <t>Acquisition (Closed)</t>
        </is>
      </c>
      <c r="D10" t="inlineStr">
        <is>
          <t>All-cash acquisition</t>
        </is>
      </c>
      <c r="E10" t="n">
        <v>200</v>
      </c>
      <c r="H10" t="n">
        <v>11.52</v>
      </c>
      <c r="I10" t="inlineStr">
        <is>
          <t>Transaction closed; 10% of the consideration is held back for 12 months.</t>
        </is>
      </c>
    </row>
    <row r="11">
      <c r="A11" s="18" t="n">
        <v>46438</v>
      </c>
      <c r="B11" t="inlineStr">
        <is>
          <t>Knollward</t>
        </is>
      </c>
      <c r="C11" t="inlineStr">
        <is>
          <t>Acquisition (Closed)</t>
        </is>
      </c>
      <c r="D11" t="inlineStr">
        <is>
          <t>All-cash acquisition</t>
        </is>
      </c>
      <c r="E11" t="n">
        <v>30</v>
      </c>
      <c r="I11" t="inlineStr">
        <is>
          <t>Transaction closed.</t>
        </is>
      </c>
    </row>
    <row r="12">
      <c r="A12" s="18" t="n">
        <v>46448</v>
      </c>
      <c r="B12" t="inlineStr">
        <is>
          <t>Aravine</t>
        </is>
      </c>
      <c r="C12" t="inlineStr">
        <is>
          <t>Priced Equity Round</t>
        </is>
      </c>
      <c r="D12" t="inlineStr">
        <is>
          <t>Series C</t>
        </is>
      </c>
      <c r="E12" t="n">
        <v>110</v>
      </c>
      <c r="F12" t="n">
        <v>1</v>
      </c>
      <c r="G12" t="n">
        <v>0.104</v>
      </c>
      <c r="I12" t="inlineStr">
        <is>
          <t>$20.0M round led by HC.</t>
        </is>
      </c>
    </row>
    <row r="13">
      <c r="A13" s="18" t="n">
        <v>46451</v>
      </c>
      <c r="B13" t="inlineStr">
        <is>
          <t>Lumetra</t>
        </is>
      </c>
      <c r="C13" t="inlineStr">
        <is>
          <t>Priced Equity Round</t>
        </is>
      </c>
      <c r="D13" t="inlineStr">
        <is>
          <t>Series A</t>
        </is>
      </c>
      <c r="E13" t="n">
        <v>13</v>
      </c>
      <c r="G13" t="n">
        <v>0.08500000000000001</v>
      </c>
      <c r="I13" t="inlineStr">
        <is>
          <t>$3.0M insider-led round. No new investor.</t>
        </is>
      </c>
    </row>
    <row r="14">
      <c r="A14" s="18" t="n">
        <v>46455</v>
      </c>
      <c r="B14" t="inlineStr">
        <is>
          <t>Zephrine</t>
        </is>
      </c>
      <c r="C14" t="inlineStr">
        <is>
          <t>Priced Equity Round</t>
        </is>
      </c>
      <c r="D14" t="inlineStr">
        <is>
          <t>Series A</t>
        </is>
      </c>
      <c r="E14" t="n">
        <v>30</v>
      </c>
      <c r="G14" t="n">
        <v>0.13</v>
      </c>
      <c r="I14" t="inlineStr">
        <is>
          <t>$8.0M round led by a new investor. HC did not participate.</t>
        </is>
      </c>
    </row>
    <row r="15">
      <c r="A15" s="18" t="n">
        <v>46458</v>
      </c>
      <c r="B15" t="inlineStr">
        <is>
          <t>Quillbrook Labs</t>
        </is>
      </c>
      <c r="C15" t="inlineStr">
        <is>
          <t>Priced Equity Round</t>
        </is>
      </c>
      <c r="D15" t="inlineStr">
        <is>
          <t>Series A</t>
        </is>
      </c>
      <c r="E15" t="n">
        <v>40</v>
      </c>
      <c r="F15" t="n">
        <v>1</v>
      </c>
      <c r="G15" t="n">
        <v>0.108</v>
      </c>
      <c r="I15" t="inlineStr">
        <is>
          <t>$8.0M round led by a new investor. HC participated pro rata.</t>
        </is>
      </c>
    </row>
    <row r="16">
      <c r="A16" s="18" t="n">
        <v>46461</v>
      </c>
      <c r="B16" t="inlineStr">
        <is>
          <t>Redgrove Health</t>
        </is>
      </c>
      <c r="C16" t="inlineStr">
        <is>
          <t>Term Sheet Signed</t>
        </is>
      </c>
      <c r="D16" t="inlineStr">
        <is>
          <t>Series B term sheet at ~$40.0M post</t>
        </is>
      </c>
      <c r="E16" t="n">
        <v>40</v>
      </c>
      <c r="I16" t="inlineStr">
        <is>
          <t>Signed the morning of the close.</t>
        </is>
      </c>
    </row>
    <row r="17">
      <c r="A17" s="18" t="n">
        <v>46461</v>
      </c>
      <c r="B17" t="inlineStr">
        <is>
          <t>Redgrove Health</t>
        </is>
      </c>
      <c r="C17" t="inlineStr">
        <is>
          <t>Priced Equity Round</t>
        </is>
      </c>
      <c r="D17" t="inlineStr">
        <is>
          <t>Series B</t>
        </is>
      </c>
      <c r="E17" t="n">
        <v>40</v>
      </c>
      <c r="F17" t="n">
        <v>0.5</v>
      </c>
      <c r="G17" t="n">
        <v>0.1075</v>
      </c>
      <c r="I17" t="inlineStr">
        <is>
          <t>$10.0M round led by a new investor. HC participated.</t>
        </is>
      </c>
    </row>
    <row r="18">
      <c r="A18" s="18" t="n">
        <v>46471</v>
      </c>
      <c r="B18" t="inlineStr">
        <is>
          <t>Wrenfield Data</t>
        </is>
      </c>
      <c r="C18" t="inlineStr">
        <is>
          <t>Shutdown</t>
        </is>
      </c>
      <c r="D18" t="inlineStr">
        <is>
          <t>Ceased operations; assets sold</t>
        </is>
      </c>
      <c r="H18" t="n">
        <v>14</v>
      </c>
      <c r="I18" t="inlineStr">
        <is>
          <t>Board voted to wind down; asset sale returned more than the carrying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df62f01d0864</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Aravine</t>
        </is>
      </c>
      <c r="B2" t="inlineStr">
        <is>
          <t>term_sheet</t>
        </is>
      </c>
      <c r="C2" s="19" t="n">
        <v>46358</v>
      </c>
      <c r="D2" t="inlineStr">
        <is>
          <t>Q4 2026</t>
        </is>
      </c>
      <c r="E2" s="19" t="n"/>
      <c r="F2" t="n">
        <v>103</v>
      </c>
      <c r="G2" t="inlineStr">
        <is>
          <t>Not closed; expected to close Q1.</t>
        </is>
      </c>
      <c r="H2" t="n">
        <v>0</v>
      </c>
      <c r="I2" t="inlineStr">
        <is>
          <t>no</t>
        </is>
      </c>
    </row>
    <row r="3">
      <c r="A3" t="inlineStr">
        <is>
          <t>Dovelane Systems</t>
        </is>
      </c>
      <c r="B3" t="inlineStr">
        <is>
          <t>term_sheet</t>
        </is>
      </c>
      <c r="C3" s="19" t="n">
        <v>46357</v>
      </c>
      <c r="D3" t="inlineStr">
        <is>
          <t>Q4 2026</t>
        </is>
      </c>
      <c r="E3" s="19" t="n"/>
      <c r="F3" t="n">
        <v>83.04000000000001</v>
      </c>
      <c r="G3" t="inlineStr">
        <is>
          <t>Not closed; diligence underway, expected to close Q1.</t>
        </is>
      </c>
      <c r="H3" t="n">
        <v>0</v>
      </c>
      <c r="I3" t="inlineStr">
        <is>
          <t>no</t>
        </is>
      </c>
    </row>
    <row r="4">
      <c r="A4" t="inlineStr">
        <is>
          <t>Jettamar</t>
        </is>
      </c>
      <c r="B4" t="inlineStr">
        <is>
          <t>pending_acquisition</t>
        </is>
      </c>
      <c r="C4" s="19" t="n">
        <v>46350</v>
      </c>
      <c r="D4" t="inlineStr">
        <is>
          <t>Q4 2026</t>
        </is>
      </c>
      <c r="E4" s="19" t="n"/>
      <c r="F4" t="n">
        <v>90</v>
      </c>
      <c r="G4" t="inlineStr">
        <is>
          <t>Expected to close in Q1 2027, subject to regulatory approval. No cash received.</t>
        </is>
      </c>
      <c r="H4" t="n">
        <v>0</v>
      </c>
      <c r="I4" t="inlineStr">
        <is>
          <t>no</t>
        </is>
      </c>
    </row>
    <row r="5">
      <c r="A5" t="inlineStr">
        <is>
          <t>Drayvenn</t>
        </is>
      </c>
      <c r="B5" t="inlineStr">
        <is>
          <t>ipo_lockup</t>
        </is>
      </c>
      <c r="C5" s="19" t="n">
        <v>46285</v>
      </c>
      <c r="D5" t="inlineStr">
        <is>
          <t>Q3 2026</t>
        </is>
      </c>
      <c r="E5" s="19" t="n">
        <v>46465</v>
      </c>
      <c r="G5" t="inlineStr">
        <is>
          <t>180-day lock-up; 2.8% of listed equity</t>
        </is>
      </c>
      <c r="H5" t="n">
        <v>1</v>
      </c>
      <c r="I5" t="inlineStr">
        <is>
          <t>no</t>
        </is>
      </c>
    </row>
    <row r="6">
      <c r="A6" t="inlineStr">
        <is>
          <t>Pinwhistle</t>
        </is>
      </c>
      <c r="B6" t="inlineStr">
        <is>
          <t>pending_acquisition</t>
        </is>
      </c>
      <c r="C6" s="19" t="n">
        <v>46376</v>
      </c>
      <c r="D6" t="inlineStr">
        <is>
          <t>Q4 2026</t>
        </is>
      </c>
      <c r="E6" s="19" t="n"/>
      <c r="F6" t="n">
        <v>60</v>
      </c>
      <c r="G6" t="inlineStr">
        <is>
          <t>Expected to close in Q1 2027. No cash received.</t>
        </is>
      </c>
      <c r="H6" t="n">
        <v>0</v>
      </c>
      <c r="I6" t="inlineStr">
        <is>
          <t>no</t>
        </is>
      </c>
    </row>
    <row r="7">
      <c r="A7" t="inlineStr">
        <is>
          <t>Yarrowbank</t>
        </is>
      </c>
      <c r="B7" t="inlineStr">
        <is>
          <t>convertible_note</t>
        </is>
      </c>
      <c r="C7" s="19" t="n">
        <v>46374</v>
      </c>
      <c r="D7" t="inlineStr">
        <is>
          <t>Q4 2026</t>
        </is>
      </c>
      <c r="E7" s="19" t="n"/>
      <c r="F7" t="n">
        <v>0.3</v>
      </c>
      <c r="G7" t="inlineStr">
        <is>
          <t>$1.0M bridge note, $45.0M valuation cap</t>
        </is>
      </c>
      <c r="H7" t="n">
        <v>0</v>
      </c>
      <c r="I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Jettamar</t>
        </is>
      </c>
      <c r="B2" t="inlineStr">
        <is>
          <t>Prior Mark $9.47M departs from ownership × last-round post-money (11.1% × $43.00M = $4.77M): committee override booked $9.47M vs proposed $9.47M (E-01); equity mark $9.47M set by M-050, not ownership × last round.</t>
        </is>
      </c>
    </row>
    <row r="3">
      <c r="A3" t="inlineStr">
        <is>
          <t>Umberly</t>
        </is>
      </c>
      <c r="B3" t="inlineStr">
        <is>
          <t>Prior Mark $24.10M departs from ownership × last-round post-money (7.5% × $180.00M = $13.50M): committee override booked $24.10M vs proposed $13.50M (E-01).</t>
        </is>
      </c>
    </row>
    <row r="4">
      <c r="A4" t="inlineStr">
        <is>
          <t>Drayvenn</t>
        </is>
      </c>
      <c r="B4" t="inlineStr">
        <is>
          <t>Prior Mark $103.60M departs from ownership × last-round post-money (2.8% × $3931.00M = $110.07M): committee override booked $103.60M vs proposed $110.07M (E-01).</t>
        </is>
      </c>
    </row>
    <row r="5">
      <c r="A5" t="inlineStr">
        <is>
          <t>Pinwhistle</t>
        </is>
      </c>
      <c r="B5" t="inlineStr">
        <is>
          <t>Prior Mark $5.21M departs from ownership × last-round post-money (8.3% × $87.70M = $7.28M): committee override booked $5.21M vs proposed $5.21M (E-01); equity mark $5.21M set by M-050, not ownership × last round.</t>
        </is>
      </c>
    </row>
    <row r="6">
      <c r="A6" t="inlineStr">
        <is>
          <t>Yarrowbank</t>
        </is>
      </c>
      <c r="B6" t="inlineStr">
        <is>
          <t>Prior Mark $0.90M departs from ownership × last-round post-money (8.4% × $7.70M = $0.65M): note leg $0.30M carried at cost (M-060); committee override booked $0.90M vs proposed $0.90M (E-01).</t>
        </is>
      </c>
    </row>
    <row r="7">
      <c r="A7" t="inlineStr">
        <is>
          <t>Birchhollow</t>
        </is>
      </c>
      <c r="B7" t="inlineStr">
        <is>
          <t>Prior Mark $28.14M departs from ownership × last-round post-money (2.9% × $1494.50M = $43.34M): committee override booked $28.14M vs proposed $28.14M (E-01).</t>
        </is>
      </c>
    </row>
    <row r="8">
      <c r="A8" t="inlineStr">
        <is>
          <t>Quillbrook Labs</t>
        </is>
      </c>
      <c r="B8" t="inlineStr">
        <is>
          <t>Entered the book in Q4 2026 from a New Investment row (M-014, X-918): fund, sector and stage are as that row named them, and the operating metrics (ARR, growth, margin, burn, cash, headcount) are blank because nothing is on file. Fill them before the next run.</t>
        </is>
      </c>
    </row>
    <row r="9">
      <c r="A9" t="inlineStr">
        <is>
          <t>Pellagrin</t>
        </is>
      </c>
      <c r="B9" t="inlineStr">
        <is>
          <t>same-terms extension on 2026-08-11 is not price discovery; the staleness clock runs from 2021-10-08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Birchhollow</t>
        </is>
      </c>
      <c r="B2" t="inlineStr">
        <is>
          <t>ARR Growth (YoY %)</t>
        </is>
      </c>
      <c r="C2" t="n">
        <v>-0.2</v>
      </c>
      <c r="D2" t="n">
        <v>-0.25</v>
      </c>
      <c r="E2" t="inlineStr">
        <is>
          <t>deteriorating further on a 70-month-old round</t>
        </is>
      </c>
    </row>
    <row r="3">
      <c r="A3" t="inlineStr">
        <is>
          <t>Jupelan</t>
        </is>
      </c>
      <c r="B3" t="inlineStr">
        <is>
          <t>Cash ($M)</t>
        </is>
      </c>
      <c r="C3" t="n">
        <v>6.6</v>
      </c>
      <c r="D3" t="n">
        <v>2</v>
      </c>
      <c r="E3" t="inlineStr">
        <is>
          <t>with burn 1.0 → runway 2.0, aged 1.0</t>
        </is>
      </c>
    </row>
    <row r="4">
      <c r="A4" t="inlineStr">
        <is>
          <t>Jupelan</t>
        </is>
      </c>
      <c r="B4" t="inlineStr">
        <is>
          <t>Net Burn ($M/mo)</t>
        </is>
      </c>
      <c r="C4" t="n">
        <v>1.5</v>
      </c>
      <c r="D4" t="n">
        <v>1</v>
      </c>
      <c r="E4" t="inlineStr">
        <is>
          <t>see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2026-09-07T10:07:56Z</dcterms:created>
  <dcterms:modified xsi:type="dcterms:W3CDTF">2026-09-07T10:07:57Z</dcterms:modified>
</cp:coreProperties>
</file>