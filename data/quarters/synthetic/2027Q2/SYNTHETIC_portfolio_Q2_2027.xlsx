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TIC TEST DATA" sheetId="1" state="visible" r:id="rId1"/>
    <sheet name="Portfolio" sheetId="2" state="visible" r:id="rId2"/>
    <sheet name="Q2 2027 Activity" sheetId="3" state="visible" r:id="rId3"/>
    <sheet name="Field Definitions" sheetId="4" state="visible" r:id="rId4"/>
    <sheet name="Open Items" sheetId="5" state="visible" r:id="rId5"/>
    <sheet name="Snapshot Notes" sheetId="6" state="visible" r:id="rId6"/>
    <sheet name="Synthetic Edits" sheetId="7" state="visible" r:id="rId7"/>
  </sheets>
  <definedNames/>
  <calcPr calcId="124519" fullCalcOnLoad="1"/>
</workbook>
</file>

<file path=xl/styles.xml><?xml version="1.0" encoding="utf-8"?>
<styleSheet xmlns="http://schemas.openxmlformats.org/spreadsheetml/2006/main">
  <numFmts count="8">
    <numFmt numFmtId="164" formatCode="mm/dd/yyyy"/>
    <numFmt numFmtId="165" formatCode="\$#,##0.0"/>
    <numFmt numFmtId="166" formatCode="0.0%"/>
    <numFmt numFmtId="167" formatCode="0.0\x"/>
    <numFmt numFmtId="168" formatCode="\$#,##0.00"/>
    <numFmt numFmtId="169" formatCode="0.0"/>
    <numFmt numFmtId="170" formatCode="yyyy-mm-dd"/>
    <numFmt numFmtId="171"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9" fontId="0" fillId="0" borderId="0" pivotButton="0" quotePrefix="0" xfId="0"/>
    <xf numFmtId="168" fontId="0" fillId="0" borderId="0" pivotButton="0" quotePrefix="0" xfId="0"/>
    <xf numFmtId="169" fontId="0" fillId="0" borderId="0" pivotButton="0" quotePrefix="0" xfId="0"/>
    <xf numFmtId="3" fontId="0" fillId="0" borderId="0" pivotButton="0" quotePrefix="0" xfId="0"/>
    <xf numFmtId="0" fontId="2" fillId="0" borderId="0" pivotButton="0" quotePrefix="0" xfId="0"/>
    <xf numFmtId="17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1"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SYNTHETIC TEST DATA</t>
        </is>
      </c>
    </row>
    <row r="2">
      <c r="A2" t="inlineStr">
        <is>
          <t>This workbook was generated by scripts/synthetic_chain.py to attack the valuation engine.</t>
        </is>
      </c>
    </row>
    <row r="3">
      <c r="A3" t="inlineStr">
        <is>
          <t>Every company, number and event is invented. Nothing here is a real position or a real market observation.</t>
        </is>
      </c>
    </row>
    <row r="4">
      <c r="A4" t="inlineStr">
        <is>
          <t>The Portfolio tab is the previous quarter's booked book as the engine emitted it after scripted reviewer decisions;</t>
        </is>
      </c>
    </row>
    <row r="5">
      <c r="A5" t="inlineStr">
        <is>
          <t>only the activity rows and a few operating metrics (listed in the Synthetic Edits tab) were written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5" customWidth="1" min="2" max="2"/>
    <col width="9" customWidth="1" min="3" max="3"/>
    <col width="10" customWidth="1" min="4" max="4"/>
    <col width="11"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30" customHeight="1">
      <c r="A1" s="1" t="inlineStr">
        <is>
          <t>Company</t>
        </is>
      </c>
      <c r="B1" s="1" t="inlineStr">
        <is>
          <t>Sector</t>
        </is>
      </c>
      <c r="C1" s="1" t="inlineStr">
        <is>
          <t>Fund</t>
        </is>
      </c>
      <c r="D1" s="1" t="inlineStr">
        <is>
          <t>Stage</t>
        </is>
      </c>
      <c r="E1" s="1" t="inlineStr">
        <is>
          <t>Status</t>
        </is>
      </c>
      <c r="F1" s="1" t="inlineStr">
        <is>
          <t>First Investment</t>
        </is>
      </c>
      <c r="G1" s="1" t="inlineStr">
        <is>
          <t>Latest Round</t>
        </is>
      </c>
      <c r="H1" s="1" t="inlineStr">
        <is>
          <t>Latest Post-Money ($M)</t>
        </is>
      </c>
      <c r="I1" s="1" t="inlineStr">
        <is>
          <t>Invested ($M)</t>
        </is>
      </c>
      <c r="J1" s="1" t="inlineStr">
        <is>
          <t>Ownership (FD %)</t>
        </is>
      </c>
      <c r="K1" s="1" t="inlineStr">
        <is>
          <t>Prior Mark ($M)</t>
        </is>
      </c>
      <c r="L1" s="1" t="inlineStr">
        <is>
          <t>Realized ($M)</t>
        </is>
      </c>
      <c r="M1" s="1" t="inlineStr">
        <is>
          <t>MOIC (x)</t>
        </is>
      </c>
      <c r="N1" s="1" t="inlineStr">
        <is>
          <t>ARR ($M)</t>
        </is>
      </c>
      <c r="O1" s="1" t="inlineStr">
        <is>
          <t>ARR Growth (YoY %)</t>
        </is>
      </c>
      <c r="P1" s="1" t="inlineStr">
        <is>
          <t>Gross Margin (%)</t>
        </is>
      </c>
      <c r="Q1" s="1" t="inlineStr">
        <is>
          <t>Net Burn ($M/mo)</t>
        </is>
      </c>
      <c r="R1" s="1" t="inlineStr">
        <is>
          <t>Cash ($M)</t>
        </is>
      </c>
      <c r="S1" s="1" t="inlineStr">
        <is>
          <t>Runway (mo)</t>
        </is>
      </c>
      <c r="T1" s="1" t="inlineStr">
        <is>
          <t>Headcount</t>
        </is>
      </c>
    </row>
    <row r="2">
      <c r="A2" t="inlineStr">
        <is>
          <t>Aravine</t>
        </is>
      </c>
      <c r="B2" t="inlineStr">
        <is>
          <t>Climate &amp; Energy</t>
        </is>
      </c>
      <c r="C2" t="inlineStr">
        <is>
          <t>Fund I</t>
        </is>
      </c>
      <c r="D2" t="inlineStr">
        <is>
          <t>Series C</t>
        </is>
      </c>
      <c r="E2" t="inlineStr">
        <is>
          <t>Active</t>
        </is>
      </c>
      <c r="F2" s="12" t="n">
        <v>43834</v>
      </c>
      <c r="G2" s="12" t="n">
        <v>46448</v>
      </c>
      <c r="H2" s="13" t="n">
        <v>110</v>
      </c>
      <c r="I2" s="13" t="n">
        <v>7</v>
      </c>
      <c r="J2" s="14" t="n">
        <v>0.104</v>
      </c>
      <c r="K2" s="13" t="n">
        <v>11.44</v>
      </c>
      <c r="L2" s="13" t="n">
        <v>0</v>
      </c>
      <c r="M2" s="15">
        <f>(K2+L2)/I2</f>
        <v/>
      </c>
      <c r="N2" s="13" t="n">
        <v>3.4</v>
      </c>
      <c r="O2" s="6" t="n">
        <v>0.83</v>
      </c>
      <c r="P2" s="6" t="n">
        <v>0.49</v>
      </c>
      <c r="Q2" s="16" t="n">
        <v>0.54</v>
      </c>
      <c r="R2" s="13" t="n">
        <v>18.1</v>
      </c>
      <c r="S2" s="17">
        <f>IF(AND(ISNUMBER(Q2),Q2&gt;0),R2/Q2,"-")</f>
        <v/>
      </c>
      <c r="T2" s="9" t="n">
        <v>28</v>
      </c>
    </row>
    <row r="3">
      <c r="A3" t="inlineStr">
        <is>
          <t>Beltrix</t>
        </is>
      </c>
      <c r="B3" t="inlineStr">
        <is>
          <t>Fintech</t>
        </is>
      </c>
      <c r="C3" t="inlineStr">
        <is>
          <t>Fund II</t>
        </is>
      </c>
      <c r="D3" t="inlineStr">
        <is>
          <t>Series A</t>
        </is>
      </c>
      <c r="E3" t="inlineStr">
        <is>
          <t>Shut Down</t>
        </is>
      </c>
      <c r="F3" s="12" t="n">
        <v>44507</v>
      </c>
      <c r="G3" s="12" t="n">
        <v>45478</v>
      </c>
      <c r="H3" s="13" t="n">
        <v>61.3</v>
      </c>
      <c r="I3" s="13" t="n">
        <v>6</v>
      </c>
      <c r="J3" s="14" t="n">
        <v>0.132</v>
      </c>
      <c r="K3" s="13" t="n">
        <v>0</v>
      </c>
      <c r="L3" s="13" t="n">
        <v>0.2</v>
      </c>
      <c r="M3" s="15">
        <f>(K3+L3)/I3</f>
        <v/>
      </c>
      <c r="N3" s="13" t="n"/>
      <c r="O3" s="6" t="n"/>
      <c r="P3" s="6" t="n"/>
      <c r="Q3" s="16" t="n"/>
      <c r="R3" s="13" t="n"/>
      <c r="S3" s="17">
        <f>IF(AND(ISNUMBER(Q3),Q3&gt;0),R3/Q3,"-")</f>
        <v/>
      </c>
      <c r="T3" s="9" t="n"/>
    </row>
    <row r="4">
      <c r="A4" t="inlineStr">
        <is>
          <t>Cindral</t>
        </is>
      </c>
      <c r="B4" t="inlineStr">
        <is>
          <t>Developer Tools</t>
        </is>
      </c>
      <c r="C4" t="inlineStr">
        <is>
          <t>Fund I</t>
        </is>
      </c>
      <c r="D4" t="inlineStr">
        <is>
          <t>Series B</t>
        </is>
      </c>
      <c r="E4" t="inlineStr">
        <is>
          <t>Acquired</t>
        </is>
      </c>
      <c r="F4" s="12" t="n">
        <v>43583</v>
      </c>
      <c r="G4" s="12" t="n">
        <v>44383</v>
      </c>
      <c r="H4" s="13" t="n">
        <v>209.5</v>
      </c>
      <c r="I4" s="13" t="n">
        <v>10</v>
      </c>
      <c r="J4" s="14" t="n">
        <v>0.08699999999999999</v>
      </c>
      <c r="K4" s="13" t="n">
        <v>0</v>
      </c>
      <c r="L4" s="13" t="n">
        <v>29.7</v>
      </c>
      <c r="M4" s="15">
        <f>(K4+L4)/I4</f>
        <v/>
      </c>
      <c r="N4" s="13" t="n"/>
      <c r="O4" s="6" t="n"/>
      <c r="P4" s="6" t="n"/>
      <c r="Q4" s="16" t="n"/>
      <c r="R4" s="13" t="n"/>
      <c r="S4" s="17">
        <f>IF(AND(ISNUMBER(Q4),Q4&gt;0),R4/Q4,"-")</f>
        <v/>
      </c>
      <c r="T4" s="9" t="n"/>
    </row>
    <row r="5">
      <c r="A5" t="inlineStr">
        <is>
          <t>Dovelane Systems</t>
        </is>
      </c>
      <c r="B5" t="inlineStr">
        <is>
          <t>Fintech</t>
        </is>
      </c>
      <c r="C5" t="inlineStr">
        <is>
          <t>Fund II</t>
        </is>
      </c>
      <c r="D5" t="inlineStr">
        <is>
          <t>Series B</t>
        </is>
      </c>
      <c r="E5" t="inlineStr">
        <is>
          <t>Active</t>
        </is>
      </c>
      <c r="F5" s="12" t="n">
        <v>44623</v>
      </c>
      <c r="G5" s="12" t="n">
        <v>46209</v>
      </c>
      <c r="H5" s="13" t="n">
        <v>103.8</v>
      </c>
      <c r="I5" s="13" t="n">
        <v>4</v>
      </c>
      <c r="J5" s="14" t="n">
        <v>0.055</v>
      </c>
      <c r="K5" s="13" t="n">
        <v>5.709</v>
      </c>
      <c r="L5" s="13" t="n">
        <v>0</v>
      </c>
      <c r="M5" s="15">
        <f>(K5+L5)/I5</f>
        <v/>
      </c>
      <c r="N5" s="13" t="n">
        <v>2.5</v>
      </c>
      <c r="O5" s="6" t="n">
        <v>1.86</v>
      </c>
      <c r="P5" s="6" t="n">
        <v>0.66</v>
      </c>
      <c r="Q5" s="16" t="n">
        <v>0.32</v>
      </c>
      <c r="R5" s="13" t="n">
        <v>8.199999999999999</v>
      </c>
      <c r="S5" s="17">
        <f>IF(AND(ISNUMBER(Q5),Q5&gt;0),R5/Q5,"-")</f>
        <v/>
      </c>
      <c r="T5" s="9" t="n">
        <v>65</v>
      </c>
    </row>
    <row r="6">
      <c r="A6" t="inlineStr">
        <is>
          <t>Emberfold</t>
        </is>
      </c>
      <c r="B6" t="inlineStr">
        <is>
          <t>Cybersecurity</t>
        </is>
      </c>
      <c r="C6" t="inlineStr">
        <is>
          <t>Fund III</t>
        </is>
      </c>
      <c r="D6" t="inlineStr">
        <is>
          <t>Series A</t>
        </is>
      </c>
      <c r="E6" t="inlineStr">
        <is>
          <t>Active</t>
        </is>
      </c>
      <c r="F6" s="12" t="n">
        <v>45681</v>
      </c>
      <c r="G6" s="12" t="n">
        <v>46309</v>
      </c>
      <c r="H6" s="13" t="n">
        <v>40</v>
      </c>
      <c r="I6" s="13" t="n">
        <v>2.5</v>
      </c>
      <c r="J6" s="14" t="n">
        <v>0.065</v>
      </c>
      <c r="K6" s="13" t="n">
        <v>2.6</v>
      </c>
      <c r="L6" s="13" t="n">
        <v>0</v>
      </c>
      <c r="M6" s="15">
        <f>(K6+L6)/I6</f>
        <v/>
      </c>
      <c r="N6" s="13" t="n">
        <v>0.7</v>
      </c>
      <c r="O6" s="6" t="n">
        <v>2.07</v>
      </c>
      <c r="P6" s="6" t="n">
        <v>0.76</v>
      </c>
      <c r="Q6" s="16" t="n">
        <v>0.13</v>
      </c>
      <c r="R6" s="13" t="n">
        <v>1.7</v>
      </c>
      <c r="S6" s="17">
        <f>IF(AND(ISNUMBER(Q6),Q6&gt;0),R6/Q6,"-")</f>
        <v/>
      </c>
      <c r="T6" s="9" t="n">
        <v>18</v>
      </c>
    </row>
    <row r="7">
      <c r="A7" t="inlineStr">
        <is>
          <t>Fernwave</t>
        </is>
      </c>
      <c r="B7" t="inlineStr">
        <is>
          <t>Infrastructure</t>
        </is>
      </c>
      <c r="C7" t="inlineStr">
        <is>
          <t>Fund I</t>
        </is>
      </c>
      <c r="D7" t="inlineStr">
        <is>
          <t>Public</t>
        </is>
      </c>
      <c r="E7" t="inlineStr">
        <is>
          <t>Active</t>
        </is>
      </c>
      <c r="F7" s="12" t="n">
        <v>43876</v>
      </c>
      <c r="G7" s="12" t="n">
        <v>46395</v>
      </c>
      <c r="H7" s="13" t="n">
        <v>2400</v>
      </c>
      <c r="I7" s="13" t="n">
        <v>10.3</v>
      </c>
      <c r="J7" s="14" t="n">
        <v>0.03</v>
      </c>
      <c r="K7" s="13" t="n">
        <v>66</v>
      </c>
      <c r="L7" s="13" t="n">
        <v>19.298</v>
      </c>
      <c r="M7" s="15">
        <f>(K7+L7)/I7</f>
        <v/>
      </c>
      <c r="N7" s="13" t="n">
        <v>80.09999999999999</v>
      </c>
      <c r="O7" s="6" t="n">
        <v>0.6899999999999999</v>
      </c>
      <c r="P7" s="6" t="n">
        <v>0.65</v>
      </c>
      <c r="Q7" s="16" t="n">
        <v>2.06</v>
      </c>
      <c r="R7" s="13" t="n">
        <v>66.09999999999999</v>
      </c>
      <c r="S7" s="17">
        <f>IF(AND(ISNUMBER(Q7),Q7&gt;0),R7/Q7,"-")</f>
        <v/>
      </c>
      <c r="T7" s="9" t="n">
        <v>500</v>
      </c>
    </row>
    <row r="8">
      <c r="A8" t="inlineStr">
        <is>
          <t>Gryphonel</t>
        </is>
      </c>
      <c r="B8" t="inlineStr">
        <is>
          <t>AI/ML</t>
        </is>
      </c>
      <c r="C8" t="inlineStr">
        <is>
          <t>Fund I</t>
        </is>
      </c>
      <c r="D8" t="inlineStr">
        <is>
          <t>Series B</t>
        </is>
      </c>
      <c r="E8" t="inlineStr">
        <is>
          <t>Acquired</t>
        </is>
      </c>
      <c r="F8" s="12" t="n">
        <v>43778</v>
      </c>
      <c r="G8" s="12" t="n">
        <v>44081</v>
      </c>
      <c r="H8" s="13" t="n">
        <v>97</v>
      </c>
      <c r="I8" s="13" t="n">
        <v>4</v>
      </c>
      <c r="J8" s="14" t="n">
        <v>0.036</v>
      </c>
      <c r="K8" s="13" t="n">
        <v>0</v>
      </c>
      <c r="L8" s="13" t="n">
        <v>4.788</v>
      </c>
      <c r="M8" s="15">
        <f>(K8+L8)/I8</f>
        <v/>
      </c>
      <c r="N8" s="13" t="n"/>
      <c r="O8" s="6" t="n"/>
      <c r="P8" s="6" t="n"/>
      <c r="Q8" s="16" t="n"/>
      <c r="R8" s="13" t="n"/>
      <c r="S8" s="17">
        <f>IF(AND(ISNUMBER(Q8),Q8&gt;0),R8/Q8,"-")</f>
        <v/>
      </c>
      <c r="T8" s="9" t="n"/>
    </row>
    <row r="9">
      <c r="A9" t="inlineStr">
        <is>
          <t>Halcyra</t>
        </is>
      </c>
      <c r="B9" t="inlineStr">
        <is>
          <t>Cybersecurity</t>
        </is>
      </c>
      <c r="C9" t="inlineStr">
        <is>
          <t>Fund I</t>
        </is>
      </c>
      <c r="D9" t="inlineStr">
        <is>
          <t>Acquired (stock)</t>
        </is>
      </c>
      <c r="E9" t="inlineStr">
        <is>
          <t>Active</t>
        </is>
      </c>
      <c r="F9" s="12" t="n">
        <v>43666</v>
      </c>
      <c r="G9" s="12" t="n">
        <v>46328</v>
      </c>
      <c r="H9" s="13" t="n">
        <v>65</v>
      </c>
      <c r="I9" s="13" t="n">
        <v>2</v>
      </c>
      <c r="J9" s="14" t="n">
        <v>0.07099999999999999</v>
      </c>
      <c r="K9" s="13" t="n">
        <v>4.615</v>
      </c>
      <c r="L9" s="13" t="n">
        <v>0</v>
      </c>
      <c r="M9" s="15">
        <f>(K9+L9)/I9</f>
        <v/>
      </c>
      <c r="N9" s="13" t="n">
        <v>4.8</v>
      </c>
      <c r="O9" s="6" t="n">
        <v>1.7</v>
      </c>
      <c r="P9" s="6" t="n">
        <v>0.76</v>
      </c>
      <c r="Q9" s="16" t="n">
        <v>0.65</v>
      </c>
      <c r="R9" s="13" t="n">
        <v>10.5</v>
      </c>
      <c r="S9" s="17">
        <f>IF(AND(ISNUMBER(Q9),Q9&gt;0),R9/Q9,"-")</f>
        <v/>
      </c>
      <c r="T9" s="9" t="n">
        <v>53</v>
      </c>
    </row>
    <row r="10">
      <c r="A10" t="inlineStr">
        <is>
          <t>Ironquill Security</t>
        </is>
      </c>
      <c r="B10" t="inlineStr">
        <is>
          <t>Developer Tools</t>
        </is>
      </c>
      <c r="C10" t="inlineStr">
        <is>
          <t>Fund I</t>
        </is>
      </c>
      <c r="D10" t="inlineStr">
        <is>
          <t>Series D</t>
        </is>
      </c>
      <c r="E10" t="inlineStr">
        <is>
          <t>Active</t>
        </is>
      </c>
      <c r="F10" s="12" t="n">
        <v>44174</v>
      </c>
      <c r="G10" s="12" t="n">
        <v>46261</v>
      </c>
      <c r="H10" s="13" t="n">
        <v>764.2</v>
      </c>
      <c r="I10" s="13" t="n">
        <v>6</v>
      </c>
      <c r="J10" s="14" t="n">
        <v>0.03</v>
      </c>
      <c r="K10" s="13" t="n">
        <v>22.926</v>
      </c>
      <c r="L10" s="13" t="n">
        <v>6.4254</v>
      </c>
      <c r="M10" s="15">
        <f>(K10+L10)/I10</f>
        <v/>
      </c>
      <c r="N10" s="13" t="n">
        <v>76.7</v>
      </c>
      <c r="O10" s="6" t="n">
        <v>0.28</v>
      </c>
      <c r="P10" s="6" t="n">
        <v>0.74</v>
      </c>
      <c r="Q10" s="16" t="n">
        <v>1.56</v>
      </c>
      <c r="R10" s="13" t="n">
        <v>22.6</v>
      </c>
      <c r="S10" s="17">
        <f>IF(AND(ISNUMBER(Q10),Q10&gt;0),R10/Q10,"-")</f>
        <v/>
      </c>
      <c r="T10" s="9" t="n">
        <v>306</v>
      </c>
    </row>
    <row r="11">
      <c r="A11" t="inlineStr">
        <is>
          <t>Jettamar</t>
        </is>
      </c>
      <c r="B11" t="inlineStr">
        <is>
          <t>Enterprise SaaS</t>
        </is>
      </c>
      <c r="C11" t="inlineStr">
        <is>
          <t>Fund III</t>
        </is>
      </c>
      <c r="D11" t="inlineStr">
        <is>
          <t>Series A</t>
        </is>
      </c>
      <c r="E11" t="inlineStr">
        <is>
          <t>Active</t>
        </is>
      </c>
      <c r="F11" s="12" t="n">
        <v>45829</v>
      </c>
      <c r="G11" s="12" t="n">
        <v>46211</v>
      </c>
      <c r="H11" s="13" t="n">
        <v>43</v>
      </c>
      <c r="I11" s="13" t="n">
        <v>3.8</v>
      </c>
      <c r="J11" s="14" t="n">
        <v>0.111</v>
      </c>
      <c r="K11" s="13" t="n">
        <v>9.468299999999999</v>
      </c>
      <c r="L11" s="13" t="n">
        <v>0</v>
      </c>
      <c r="M11" s="15">
        <f>(K11+L11)/I11</f>
        <v/>
      </c>
      <c r="N11" s="13" t="n">
        <v>1.2</v>
      </c>
      <c r="O11" s="6" t="n">
        <v>2.71</v>
      </c>
      <c r="P11" s="6" t="n">
        <v>0.6899999999999999</v>
      </c>
      <c r="Q11" s="16" t="n">
        <v>0.23</v>
      </c>
      <c r="R11" s="13" t="n">
        <v>6.1</v>
      </c>
      <c r="S11" s="17">
        <f>IF(AND(ISNUMBER(Q11),Q11&gt;0),R11/Q11,"-")</f>
        <v/>
      </c>
      <c r="T11" s="9" t="n">
        <v>11</v>
      </c>
    </row>
    <row r="12">
      <c r="A12" t="inlineStr">
        <is>
          <t>Kolvani Health</t>
        </is>
      </c>
      <c r="B12" t="inlineStr">
        <is>
          <t>Developer Tools</t>
        </is>
      </c>
      <c r="C12" t="inlineStr">
        <is>
          <t>Fund II</t>
        </is>
      </c>
      <c r="D12" t="inlineStr">
        <is>
          <t>Series B</t>
        </is>
      </c>
      <c r="E12" t="inlineStr">
        <is>
          <t>Acquired</t>
        </is>
      </c>
      <c r="F12" s="12" t="n">
        <v>44594</v>
      </c>
      <c r="G12" s="12" t="n">
        <v>45653</v>
      </c>
      <c r="H12" s="13" t="n">
        <v>112.1</v>
      </c>
      <c r="I12" s="13" t="n">
        <v>5.8</v>
      </c>
      <c r="J12" s="14" t="n">
        <v>0.07099999999999999</v>
      </c>
      <c r="K12" s="13" t="n">
        <v>0</v>
      </c>
      <c r="L12" s="13" t="n">
        <v>15.9</v>
      </c>
      <c r="M12" s="15">
        <f>(K12+L12)/I12</f>
        <v/>
      </c>
      <c r="N12" s="13" t="n"/>
      <c r="O12" s="6" t="n"/>
      <c r="P12" s="6" t="n"/>
      <c r="Q12" s="16" t="n"/>
      <c r="R12" s="13" t="n"/>
      <c r="S12" s="17">
        <f>IF(AND(ISNUMBER(Q12),Q12&gt;0),R12/Q12,"-")</f>
        <v/>
      </c>
      <c r="T12" s="9" t="n"/>
    </row>
    <row r="13">
      <c r="A13" t="inlineStr">
        <is>
          <t>Lumetra</t>
        </is>
      </c>
      <c r="B13" t="inlineStr">
        <is>
          <t>AI/ML</t>
        </is>
      </c>
      <c r="C13" t="inlineStr">
        <is>
          <t>Fund III</t>
        </is>
      </c>
      <c r="D13" t="inlineStr">
        <is>
          <t>Series A</t>
        </is>
      </c>
      <c r="E13" t="inlineStr">
        <is>
          <t>Active</t>
        </is>
      </c>
      <c r="F13" s="12" t="n">
        <v>46096</v>
      </c>
      <c r="G13" s="12" t="n">
        <v>46451</v>
      </c>
      <c r="H13" s="13" t="n">
        <v>13</v>
      </c>
      <c r="I13" s="13" t="n">
        <v>0.5</v>
      </c>
      <c r="J13" s="14" t="n">
        <v>0.08500000000000001</v>
      </c>
      <c r="K13" s="13" t="n">
        <v>1.105</v>
      </c>
      <c r="L13" s="13" t="n">
        <v>0</v>
      </c>
      <c r="M13" s="15">
        <f>(K13+L13)/I13</f>
        <v/>
      </c>
      <c r="N13" s="13" t="n">
        <v>0.8</v>
      </c>
      <c r="O13" s="6" t="n">
        <v>2.86</v>
      </c>
      <c r="P13" s="6" t="n">
        <v>0.64</v>
      </c>
      <c r="Q13" s="16" t="n">
        <v>0.15</v>
      </c>
      <c r="R13" s="13" t="n">
        <v>3.3</v>
      </c>
      <c r="S13" s="17">
        <f>IF(AND(ISNUMBER(Q13),Q13&gt;0),R13/Q13,"-")</f>
        <v/>
      </c>
      <c r="T13" s="9" t="n">
        <v>24</v>
      </c>
    </row>
    <row r="14">
      <c r="A14" t="inlineStr">
        <is>
          <t>Marrowick Bio</t>
        </is>
      </c>
      <c r="B14" t="inlineStr">
        <is>
          <t>AI/ML</t>
        </is>
      </c>
      <c r="C14" t="inlineStr">
        <is>
          <t>Fund II</t>
        </is>
      </c>
      <c r="D14" t="inlineStr">
        <is>
          <t>Series C</t>
        </is>
      </c>
      <c r="E14" t="inlineStr">
        <is>
          <t>Active</t>
        </is>
      </c>
      <c r="F14" s="12" t="n">
        <v>44918</v>
      </c>
      <c r="G14" s="12" t="n">
        <v>45764</v>
      </c>
      <c r="H14" s="13" t="n">
        <v>516</v>
      </c>
      <c r="I14" s="13" t="n">
        <v>10.5</v>
      </c>
      <c r="J14" s="14" t="n">
        <v>0.019</v>
      </c>
      <c r="K14" s="13" t="n">
        <v>9.804</v>
      </c>
      <c r="L14" s="13" t="n">
        <v>3.9</v>
      </c>
      <c r="M14" s="15">
        <f>(K14+L14)/I14</f>
        <v/>
      </c>
      <c r="N14" s="13" t="n">
        <v>75.3</v>
      </c>
      <c r="O14" s="6" t="n">
        <v>0.46</v>
      </c>
      <c r="P14" s="6" t="n">
        <v>0.64</v>
      </c>
      <c r="Q14" s="16" t="n">
        <v>2.09</v>
      </c>
      <c r="R14" s="13" t="n">
        <v>35</v>
      </c>
      <c r="S14" s="17">
        <f>IF(AND(ISNUMBER(Q14),Q14&gt;0),R14/Q14,"-")</f>
        <v/>
      </c>
      <c r="T14" s="9" t="n">
        <v>222</v>
      </c>
    </row>
    <row r="15">
      <c r="A15" t="inlineStr">
        <is>
          <t>Nimbrel</t>
        </is>
      </c>
      <c r="B15" t="inlineStr">
        <is>
          <t>AI/ML</t>
        </is>
      </c>
      <c r="C15" t="inlineStr">
        <is>
          <t>Fund II</t>
        </is>
      </c>
      <c r="D15" t="inlineStr">
        <is>
          <t>Series B</t>
        </is>
      </c>
      <c r="E15" t="inlineStr">
        <is>
          <t>Active</t>
        </is>
      </c>
      <c r="F15" s="12" t="n">
        <v>44962</v>
      </c>
      <c r="G15" s="12" t="n">
        <v>46371</v>
      </c>
      <c r="H15" s="13" t="n">
        <v>70</v>
      </c>
      <c r="I15" s="13" t="n">
        <v>2.7</v>
      </c>
      <c r="J15" s="14" t="n">
        <v>0.077</v>
      </c>
      <c r="K15" s="13" t="n">
        <v>5.39</v>
      </c>
      <c r="L15" s="13" t="n">
        <v>0</v>
      </c>
      <c r="M15" s="15">
        <f>(K15+L15)/I15</f>
        <v/>
      </c>
      <c r="N15" s="13" t="n">
        <v>0.9</v>
      </c>
      <c r="O15" s="6" t="n">
        <v>1.25</v>
      </c>
      <c r="P15" s="6" t="n">
        <v>0.57</v>
      </c>
      <c r="Q15" s="16" t="n">
        <v>0.29</v>
      </c>
      <c r="R15" s="13" t="n">
        <v>4.3</v>
      </c>
      <c r="S15" s="17">
        <f>IF(AND(ISNUMBER(Q15),Q15&gt;0),R15/Q15,"-")</f>
        <v/>
      </c>
      <c r="T15" s="9" t="n">
        <v>9</v>
      </c>
    </row>
    <row r="16">
      <c r="A16" t="inlineStr">
        <is>
          <t>Ostrella</t>
        </is>
      </c>
      <c r="B16" t="inlineStr">
        <is>
          <t>Space &amp; Defense</t>
        </is>
      </c>
      <c r="C16" t="inlineStr">
        <is>
          <t>Fund I</t>
        </is>
      </c>
      <c r="D16" t="inlineStr">
        <is>
          <t>Series D+</t>
        </is>
      </c>
      <c r="E16" t="inlineStr">
        <is>
          <t>Active</t>
        </is>
      </c>
      <c r="F16" s="12" t="n">
        <v>43953</v>
      </c>
      <c r="G16" s="12" t="n">
        <v>44426</v>
      </c>
      <c r="H16" s="13" t="n">
        <v>1157.1</v>
      </c>
      <c r="I16" s="13" t="n">
        <v>8</v>
      </c>
      <c r="J16" s="14" t="n">
        <v>0.012</v>
      </c>
      <c r="K16" s="13" t="n">
        <v>13.9</v>
      </c>
      <c r="L16" s="13" t="n">
        <v>0</v>
      </c>
      <c r="M16" s="15">
        <f>(K16+L16)/I16</f>
        <v/>
      </c>
      <c r="N16" s="13" t="n">
        <v>121.2</v>
      </c>
      <c r="O16" s="6" t="n">
        <v>0.27</v>
      </c>
      <c r="P16" s="6" t="n">
        <v>0.46</v>
      </c>
      <c r="Q16" s="16" t="n">
        <v>2.79</v>
      </c>
      <c r="R16" s="13" t="n">
        <v>45</v>
      </c>
      <c r="S16" s="17">
        <f>IF(AND(ISNUMBER(Q16),Q16&gt;0),R16/Q16,"-")</f>
        <v/>
      </c>
      <c r="T16" s="9" t="n">
        <v>525</v>
      </c>
    </row>
    <row r="17">
      <c r="A17" t="inlineStr">
        <is>
          <t>Pellagrin</t>
        </is>
      </c>
      <c r="B17" t="inlineStr">
        <is>
          <t>Climate &amp; Energy</t>
        </is>
      </c>
      <c r="C17" t="inlineStr">
        <is>
          <t>Fund I</t>
        </is>
      </c>
      <c r="D17" t="inlineStr">
        <is>
          <t>Series B</t>
        </is>
      </c>
      <c r="E17" t="inlineStr">
        <is>
          <t>Active</t>
        </is>
      </c>
      <c r="F17" s="12" t="n">
        <v>43895</v>
      </c>
      <c r="G17" s="12" t="n">
        <v>46245</v>
      </c>
      <c r="H17" s="13" t="n">
        <v>176.3</v>
      </c>
      <c r="I17" s="13" t="n">
        <v>5.1</v>
      </c>
      <c r="J17" s="14" t="n">
        <v>0.079</v>
      </c>
      <c r="K17" s="13" t="n">
        <v>13.9277</v>
      </c>
      <c r="L17" s="13" t="n">
        <v>0</v>
      </c>
      <c r="M17" s="15">
        <f>(K17+L17)/I17</f>
        <v/>
      </c>
      <c r="N17" s="13" t="n">
        <v>25.5</v>
      </c>
      <c r="O17" s="6" t="n">
        <v>1.01</v>
      </c>
      <c r="P17" s="6" t="n">
        <v>0.45</v>
      </c>
      <c r="Q17" s="16" t="n">
        <v>1.51</v>
      </c>
      <c r="R17" s="13" t="n">
        <v>30.5</v>
      </c>
      <c r="S17" s="17">
        <f>IF(AND(ISNUMBER(Q17),Q17&gt;0),R17/Q17,"-")</f>
        <v/>
      </c>
      <c r="T17" s="9" t="n">
        <v>201</v>
      </c>
    </row>
    <row r="18">
      <c r="A18" t="inlineStr">
        <is>
          <t>Quindle</t>
        </is>
      </c>
      <c r="B18" t="inlineStr">
        <is>
          <t>Infrastructure</t>
        </is>
      </c>
      <c r="C18" t="inlineStr">
        <is>
          <t>Fund II</t>
        </is>
      </c>
      <c r="D18" t="inlineStr">
        <is>
          <t>Series A</t>
        </is>
      </c>
      <c r="E18" t="inlineStr">
        <is>
          <t>Active</t>
        </is>
      </c>
      <c r="F18" s="12" t="n">
        <v>44973</v>
      </c>
      <c r="G18" s="12" t="n">
        <v>45239</v>
      </c>
      <c r="H18" s="13" t="n">
        <v>61.1</v>
      </c>
      <c r="I18" s="13" t="n">
        <v>6</v>
      </c>
      <c r="J18" s="14" t="n">
        <v>0.121</v>
      </c>
      <c r="K18" s="13" t="n">
        <v>7.4</v>
      </c>
      <c r="L18" s="13" t="n">
        <v>0</v>
      </c>
      <c r="M18" s="15">
        <f>(K18+L18)/I18</f>
        <v/>
      </c>
      <c r="N18" s="13" t="n">
        <v>2.9</v>
      </c>
      <c r="O18" s="6" t="n">
        <v>1.26</v>
      </c>
      <c r="P18" s="6" t="n">
        <v>0.62</v>
      </c>
      <c r="Q18" s="16" t="n">
        <v>0.83</v>
      </c>
      <c r="R18" s="13" t="n">
        <v>12.3</v>
      </c>
      <c r="S18" s="17">
        <f>IF(AND(ISNUMBER(Q18),Q18&gt;0),R18/Q18,"-")</f>
        <v/>
      </c>
      <c r="T18" s="9" t="n">
        <v>64</v>
      </c>
    </row>
    <row r="19">
      <c r="A19" t="inlineStr">
        <is>
          <t>Rivenmark</t>
        </is>
      </c>
      <c r="B19" t="inlineStr">
        <is>
          <t>Developer Tools</t>
        </is>
      </c>
      <c r="C19" t="inlineStr">
        <is>
          <t>Fund III</t>
        </is>
      </c>
      <c r="D19" t="inlineStr">
        <is>
          <t>Seed</t>
        </is>
      </c>
      <c r="E19" t="inlineStr">
        <is>
          <t>Active</t>
        </is>
      </c>
      <c r="F19" s="12" t="n">
        <v>45385</v>
      </c>
      <c r="G19" s="12" t="n">
        <v>45863</v>
      </c>
      <c r="H19" s="13" t="n">
        <v>23.9</v>
      </c>
      <c r="I19" s="13" t="n">
        <v>2.2</v>
      </c>
      <c r="J19" s="14" t="n">
        <v>0.12</v>
      </c>
      <c r="K19" s="13" t="n">
        <v>2.9</v>
      </c>
      <c r="L19" s="13" t="n">
        <v>0</v>
      </c>
      <c r="M19" s="15">
        <f>(K19+L19)/I19</f>
        <v/>
      </c>
      <c r="N19" s="13" t="n">
        <v>1.3</v>
      </c>
      <c r="O19" s="6" t="n">
        <v>2.44</v>
      </c>
      <c r="P19" s="6" t="n">
        <v>0.75</v>
      </c>
      <c r="Q19" s="16" t="n">
        <v>0.25</v>
      </c>
      <c r="R19" s="13" t="n">
        <v>4.1</v>
      </c>
      <c r="S19" s="17">
        <f>IF(AND(ISNUMBER(Q19),Q19&gt;0),R19/Q19,"-")</f>
        <v/>
      </c>
      <c r="T19" s="9" t="n">
        <v>17</v>
      </c>
    </row>
    <row r="20">
      <c r="A20" t="inlineStr">
        <is>
          <t>Solvantra</t>
        </is>
      </c>
      <c r="B20" t="inlineStr">
        <is>
          <t>Fintech</t>
        </is>
      </c>
      <c r="C20" t="inlineStr">
        <is>
          <t>Fund II</t>
        </is>
      </c>
      <c r="D20" t="inlineStr">
        <is>
          <t>Series B</t>
        </is>
      </c>
      <c r="E20" t="inlineStr">
        <is>
          <t>Active</t>
        </is>
      </c>
      <c r="F20" s="12" t="n">
        <v>45096</v>
      </c>
      <c r="G20" s="12" t="n">
        <v>46366</v>
      </c>
      <c r="H20" s="13" t="n">
        <v>150</v>
      </c>
      <c r="I20" s="13" t="n">
        <v>6.75</v>
      </c>
      <c r="J20" s="14" t="n">
        <v>0.128</v>
      </c>
      <c r="K20" s="13" t="n">
        <v>19.2</v>
      </c>
      <c r="L20" s="13" t="n">
        <v>0</v>
      </c>
      <c r="M20" s="15">
        <f>(K20+L20)/I20</f>
        <v/>
      </c>
      <c r="N20" s="13" t="n">
        <v>3.6</v>
      </c>
      <c r="O20" s="6" t="n">
        <v>1.07</v>
      </c>
      <c r="P20" s="6" t="n">
        <v>0.46</v>
      </c>
      <c r="Q20" s="16" t="n">
        <v>0.8</v>
      </c>
      <c r="R20" s="13" t="n">
        <v>19.1</v>
      </c>
      <c r="S20" s="17">
        <f>IF(AND(ISNUMBER(Q20),Q20&gt;0),R20/Q20,"-")</f>
        <v/>
      </c>
      <c r="T20" s="9" t="n">
        <v>25</v>
      </c>
    </row>
    <row r="21">
      <c r="A21" t="inlineStr">
        <is>
          <t>Tarnwick Aerospace</t>
        </is>
      </c>
      <c r="B21" t="inlineStr">
        <is>
          <t>Enterprise SaaS</t>
        </is>
      </c>
      <c r="C21" t="inlineStr">
        <is>
          <t>Fund II</t>
        </is>
      </c>
      <c r="D21" t="inlineStr">
        <is>
          <t>Series A</t>
        </is>
      </c>
      <c r="E21" t="inlineStr">
        <is>
          <t>Active</t>
        </is>
      </c>
      <c r="F21" s="12" t="n">
        <v>44696</v>
      </c>
      <c r="G21" s="12" t="n">
        <v>46432</v>
      </c>
      <c r="H21" s="13" t="n">
        <v>9</v>
      </c>
      <c r="I21" s="13" t="n">
        <v>1.5</v>
      </c>
      <c r="J21" s="14" t="n">
        <v>0.095</v>
      </c>
      <c r="K21" s="13" t="n">
        <v>0.855</v>
      </c>
      <c r="L21" s="13" t="n">
        <v>0</v>
      </c>
      <c r="M21" s="15">
        <f>(K21+L21)/I21</f>
        <v/>
      </c>
      <c r="N21" s="13" t="n">
        <v>1.4</v>
      </c>
      <c r="O21" s="6" t="n">
        <v>-0.16</v>
      </c>
      <c r="P21" s="6" t="n">
        <v>0.68</v>
      </c>
      <c r="Q21" s="16" t="n">
        <v>0.29</v>
      </c>
      <c r="R21" s="13" t="n">
        <v>9.699999999999999</v>
      </c>
      <c r="S21" s="17">
        <f>IF(AND(ISNUMBER(Q21),Q21&gt;0),R21/Q21,"-")</f>
        <v/>
      </c>
      <c r="T21" s="9" t="n">
        <v>7</v>
      </c>
    </row>
    <row r="22">
      <c r="A22" t="inlineStr">
        <is>
          <t>Umberly</t>
        </is>
      </c>
      <c r="B22" t="inlineStr">
        <is>
          <t>AI/ML</t>
        </is>
      </c>
      <c r="C22" t="inlineStr">
        <is>
          <t>Fund II</t>
        </is>
      </c>
      <c r="D22" t="inlineStr">
        <is>
          <t>Series C</t>
        </is>
      </c>
      <c r="E22" t="inlineStr">
        <is>
          <t>Active</t>
        </is>
      </c>
      <c r="F22" s="12" t="n">
        <v>44499</v>
      </c>
      <c r="G22" s="12" t="n">
        <v>46336</v>
      </c>
      <c r="H22" s="13" t="n">
        <v>180</v>
      </c>
      <c r="I22" s="13" t="n">
        <v>10</v>
      </c>
      <c r="J22" s="14" t="n">
        <v>0.075</v>
      </c>
      <c r="K22" s="13" t="n">
        <v>0</v>
      </c>
      <c r="L22" s="13" t="n">
        <v>0</v>
      </c>
      <c r="M22" s="15">
        <f>(K22+L22)/I22</f>
        <v/>
      </c>
      <c r="N22" s="13" t="n">
        <v>31.7</v>
      </c>
      <c r="O22" s="6" t="n">
        <v>0.45</v>
      </c>
      <c r="P22" s="6" t="n">
        <v>0.59</v>
      </c>
      <c r="Q22" s="16" t="n">
        <v>1.36</v>
      </c>
      <c r="R22" s="13" t="n">
        <v>4.1</v>
      </c>
      <c r="S22" s="17">
        <f>IF(AND(ISNUMBER(Q22),Q22&gt;0),R22/Q22,"-")</f>
        <v/>
      </c>
      <c r="T22" s="9" t="n">
        <v>174</v>
      </c>
    </row>
    <row r="23">
      <c r="A23" t="inlineStr">
        <is>
          <t>Vexmoor</t>
        </is>
      </c>
      <c r="B23" t="inlineStr">
        <is>
          <t>Space &amp; Defense</t>
        </is>
      </c>
      <c r="C23" t="inlineStr">
        <is>
          <t>Fund I</t>
        </is>
      </c>
      <c r="D23" t="inlineStr">
        <is>
          <t>Series C</t>
        </is>
      </c>
      <c r="E23" t="inlineStr">
        <is>
          <t>Active</t>
        </is>
      </c>
      <c r="F23" s="12" t="n">
        <v>44315</v>
      </c>
      <c r="G23" s="12" t="n">
        <v>45782</v>
      </c>
      <c r="H23" s="13" t="n">
        <v>398.1</v>
      </c>
      <c r="I23" s="13" t="n">
        <v>6</v>
      </c>
      <c r="J23" s="14" t="n">
        <v>0.057</v>
      </c>
      <c r="K23" s="13" t="n">
        <v>22.7</v>
      </c>
      <c r="L23" s="13" t="n">
        <v>0</v>
      </c>
      <c r="M23" s="15">
        <f>(K23+L23)/I23</f>
        <v/>
      </c>
      <c r="N23" s="13" t="n">
        <v>71.8</v>
      </c>
      <c r="O23" s="6" t="n">
        <v>0.29</v>
      </c>
      <c r="P23" s="6" t="n">
        <v>0.37</v>
      </c>
      <c r="Q23" s="16" t="n">
        <v>0.88</v>
      </c>
      <c r="R23" s="13" t="n">
        <v>16.6</v>
      </c>
      <c r="S23" s="17">
        <f>IF(AND(ISNUMBER(Q23),Q23&gt;0),R23/Q23,"-")</f>
        <v/>
      </c>
      <c r="T23" s="9" t="n">
        <v>343</v>
      </c>
    </row>
    <row r="24">
      <c r="A24" t="inlineStr">
        <is>
          <t>Wrenfield Data</t>
        </is>
      </c>
      <c r="B24" t="inlineStr">
        <is>
          <t>Fintech</t>
        </is>
      </c>
      <c r="C24" t="inlineStr">
        <is>
          <t>Fund I</t>
        </is>
      </c>
      <c r="D24" t="inlineStr">
        <is>
          <t>Series C</t>
        </is>
      </c>
      <c r="E24" t="inlineStr">
        <is>
          <t>Shut Down</t>
        </is>
      </c>
      <c r="F24" s="12" t="n">
        <v>43791</v>
      </c>
      <c r="G24" s="12" t="n">
        <v>44980</v>
      </c>
      <c r="H24" s="13" t="n">
        <v>562.1</v>
      </c>
      <c r="I24" s="13" t="n">
        <v>6</v>
      </c>
      <c r="J24" s="14" t="n">
        <v>0.022</v>
      </c>
      <c r="K24" s="13" t="n">
        <v>0</v>
      </c>
      <c r="L24" s="13" t="n">
        <v>14</v>
      </c>
      <c r="M24" s="15">
        <f>(K24+L24)/I24</f>
        <v/>
      </c>
      <c r="N24" s="13" t="n"/>
      <c r="O24" s="6" t="n"/>
      <c r="P24" s="6" t="n"/>
      <c r="Q24" s="16" t="n"/>
      <c r="R24" s="13" t="n"/>
      <c r="S24" s="17">
        <f>IF(AND(ISNUMBER(Q24),Q24&gt;0),R24/Q24,"-")</f>
        <v/>
      </c>
      <c r="T24" s="9" t="n"/>
    </row>
    <row r="25">
      <c r="A25" t="inlineStr">
        <is>
          <t>Xalorin</t>
        </is>
      </c>
      <c r="B25" t="inlineStr">
        <is>
          <t>Infrastructure</t>
        </is>
      </c>
      <c r="C25" t="inlineStr">
        <is>
          <t>Fund II</t>
        </is>
      </c>
      <c r="D25" t="inlineStr">
        <is>
          <t>Series B</t>
        </is>
      </c>
      <c r="E25" t="inlineStr">
        <is>
          <t>Active</t>
        </is>
      </c>
      <c r="F25" s="12" t="n">
        <v>44801</v>
      </c>
      <c r="G25" s="12" t="n">
        <v>45151</v>
      </c>
      <c r="H25" s="13" t="n">
        <v>97.59999999999999</v>
      </c>
      <c r="I25" s="13" t="n">
        <v>4</v>
      </c>
      <c r="J25" s="14" t="n">
        <v>0.063</v>
      </c>
      <c r="K25" s="13" t="n">
        <v>6.1</v>
      </c>
      <c r="L25" s="13" t="n">
        <v>0</v>
      </c>
      <c r="M25" s="15">
        <f>(K25+L25)/I25</f>
        <v/>
      </c>
      <c r="N25" s="13" t="n">
        <v>12.2</v>
      </c>
      <c r="O25" s="6" t="n">
        <v>1.08</v>
      </c>
      <c r="P25" s="6" t="n">
        <v>0.5600000000000001</v>
      </c>
      <c r="Q25" s="16" t="n">
        <v>0.78</v>
      </c>
      <c r="R25" s="13" t="n">
        <v>20.7</v>
      </c>
      <c r="S25" s="17">
        <f>IF(AND(ISNUMBER(Q25),Q25&gt;0),R25/Q25,"-")</f>
        <v/>
      </c>
      <c r="T25" s="9" t="n">
        <v>196</v>
      </c>
    </row>
    <row r="26">
      <c r="A26" t="inlineStr">
        <is>
          <t>Yondermist</t>
        </is>
      </c>
      <c r="B26" t="inlineStr">
        <is>
          <t>Healthcare</t>
        </is>
      </c>
      <c r="C26" t="inlineStr">
        <is>
          <t>Fund III</t>
        </is>
      </c>
      <c r="D26" t="inlineStr">
        <is>
          <t>Seed</t>
        </is>
      </c>
      <c r="E26" t="inlineStr">
        <is>
          <t>Active</t>
        </is>
      </c>
      <c r="F26" s="12" t="n">
        <v>45466</v>
      </c>
      <c r="G26" s="12" t="n">
        <v>45466</v>
      </c>
      <c r="H26" s="13" t="n">
        <v>14.2</v>
      </c>
      <c r="I26" s="13" t="n">
        <v>1.2</v>
      </c>
      <c r="J26" s="14" t="n">
        <v>0.091</v>
      </c>
      <c r="K26" s="13" t="n">
        <v>1.3</v>
      </c>
      <c r="L26" s="13" t="n">
        <v>0</v>
      </c>
      <c r="M26" s="15">
        <f>(K26+L26)/I26</f>
        <v/>
      </c>
      <c r="N26" s="13" t="n">
        <v>0.8</v>
      </c>
      <c r="O26" s="6" t="n">
        <v>1.49</v>
      </c>
      <c r="P26" s="6" t="n">
        <v>0.65</v>
      </c>
      <c r="Q26" s="16" t="n">
        <v>0.32</v>
      </c>
      <c r="R26" s="13" t="n">
        <v>5</v>
      </c>
      <c r="S26" s="17">
        <f>IF(AND(ISNUMBER(Q26),Q26&gt;0),R26/Q26,"-")</f>
        <v/>
      </c>
      <c r="T26" s="9" t="n">
        <v>10</v>
      </c>
    </row>
    <row r="27">
      <c r="A27" t="inlineStr">
        <is>
          <t>Zephrine</t>
        </is>
      </c>
      <c r="B27" t="inlineStr">
        <is>
          <t>Enterprise SaaS</t>
        </is>
      </c>
      <c r="C27" t="inlineStr">
        <is>
          <t>Fund III</t>
        </is>
      </c>
      <c r="D27" t="inlineStr">
        <is>
          <t>Series A</t>
        </is>
      </c>
      <c r="E27" t="inlineStr">
        <is>
          <t>Active</t>
        </is>
      </c>
      <c r="F27" s="12" t="n">
        <v>45336</v>
      </c>
      <c r="G27" s="12" t="n">
        <v>46455</v>
      </c>
      <c r="H27" s="13" t="n">
        <v>30</v>
      </c>
      <c r="I27" s="13" t="n">
        <v>2.5</v>
      </c>
      <c r="J27" s="14" t="n">
        <v>0.13</v>
      </c>
      <c r="K27" s="13" t="n">
        <v>3.9</v>
      </c>
      <c r="L27" s="13" t="n">
        <v>0</v>
      </c>
      <c r="M27" s="15">
        <f>(K27+L27)/I27</f>
        <v/>
      </c>
      <c r="N27" s="13" t="n">
        <v>1.5</v>
      </c>
      <c r="O27" s="6" t="n">
        <v>1.02</v>
      </c>
      <c r="P27" s="6" t="n">
        <v>0.75</v>
      </c>
      <c r="Q27" s="16" t="n">
        <v>0.21</v>
      </c>
      <c r="R27" s="13" t="n">
        <v>6.9</v>
      </c>
      <c r="S27" s="17">
        <f>IF(AND(ISNUMBER(Q27),Q27&gt;0),R27/Q27,"-")</f>
        <v/>
      </c>
      <c r="T27" s="9" t="n">
        <v>20</v>
      </c>
    </row>
    <row r="28">
      <c r="A28" t="inlineStr">
        <is>
          <t>Arcfoundry</t>
        </is>
      </c>
      <c r="B28" t="inlineStr">
        <is>
          <t>Developer Tools</t>
        </is>
      </c>
      <c r="C28" t="inlineStr">
        <is>
          <t>Fund III</t>
        </is>
      </c>
      <c r="D28" t="inlineStr">
        <is>
          <t>Seed</t>
        </is>
      </c>
      <c r="E28" t="inlineStr">
        <is>
          <t>Acquired</t>
        </is>
      </c>
      <c r="F28" s="12" t="n">
        <v>45240</v>
      </c>
      <c r="G28" s="12" t="n">
        <v>45240</v>
      </c>
      <c r="H28" s="13" t="n">
        <v>21.2</v>
      </c>
      <c r="I28" s="13" t="n">
        <v>1.5</v>
      </c>
      <c r="J28" s="14" t="n">
        <v>0.064</v>
      </c>
      <c r="K28" s="13" t="n">
        <v>0</v>
      </c>
      <c r="L28" s="13" t="n">
        <v>11.52</v>
      </c>
      <c r="M28" s="15">
        <f>(K28+L28)/I28</f>
        <v/>
      </c>
      <c r="N28" s="13" t="n"/>
      <c r="O28" s="6" t="n"/>
      <c r="P28" s="6" t="n"/>
      <c r="Q28" s="16" t="n"/>
      <c r="R28" s="13" t="n"/>
      <c r="S28" s="17">
        <f>IF(AND(ISNUMBER(Q28),Q28&gt;0),R28/Q28,"-")</f>
        <v/>
      </c>
      <c r="T28" s="9" t="n"/>
    </row>
    <row r="29">
      <c r="A29" t="inlineStr">
        <is>
          <t>Brumewell</t>
        </is>
      </c>
      <c r="B29" t="inlineStr">
        <is>
          <t>AI/ML</t>
        </is>
      </c>
      <c r="C29" t="inlineStr">
        <is>
          <t>Fund II</t>
        </is>
      </c>
      <c r="D29" t="inlineStr">
        <is>
          <t>Series B</t>
        </is>
      </c>
      <c r="E29" t="inlineStr">
        <is>
          <t>Active</t>
        </is>
      </c>
      <c r="F29" s="12" t="n">
        <v>44959</v>
      </c>
      <c r="G29" s="12" t="n">
        <v>45467</v>
      </c>
      <c r="H29" s="13" t="n">
        <v>246.7</v>
      </c>
      <c r="I29" s="13" t="n">
        <v>10</v>
      </c>
      <c r="J29" s="14" t="n">
        <v>0.075</v>
      </c>
      <c r="K29" s="13" t="n">
        <v>18.5</v>
      </c>
      <c r="L29" s="13" t="n">
        <v>0</v>
      </c>
      <c r="M29" s="15">
        <f>(K29+L29)/I29</f>
        <v/>
      </c>
      <c r="N29" s="13" t="n">
        <v>12</v>
      </c>
      <c r="O29" s="6" t="n">
        <v>-0.21</v>
      </c>
      <c r="P29" s="6" t="n">
        <v>0.59</v>
      </c>
      <c r="Q29" s="16" t="n">
        <v>1.88</v>
      </c>
      <c r="R29" s="13" t="n">
        <v>47.2</v>
      </c>
      <c r="S29" s="17">
        <f>IF(AND(ISNUMBER(Q29),Q29&gt;0),R29/Q29,"-")</f>
        <v/>
      </c>
      <c r="T29" s="9" t="n">
        <v>195</v>
      </c>
    </row>
    <row r="30">
      <c r="A30" t="inlineStr">
        <is>
          <t>Cascabel Labs</t>
        </is>
      </c>
      <c r="B30" t="inlineStr">
        <is>
          <t>AI/ML</t>
        </is>
      </c>
      <c r="C30" t="inlineStr">
        <is>
          <t>Fund II</t>
        </is>
      </c>
      <c r="D30" t="inlineStr">
        <is>
          <t>Series A</t>
        </is>
      </c>
      <c r="E30" t="inlineStr">
        <is>
          <t>Active</t>
        </is>
      </c>
      <c r="F30" s="12" t="n">
        <v>45176</v>
      </c>
      <c r="G30" s="12" t="n">
        <v>45648</v>
      </c>
      <c r="H30" s="13" t="n">
        <v>86.2</v>
      </c>
      <c r="I30" s="13" t="n">
        <v>4.1</v>
      </c>
      <c r="J30" s="14" t="n">
        <v>0.07199999999999999</v>
      </c>
      <c r="K30" s="13" t="n">
        <v>6.2</v>
      </c>
      <c r="L30" s="13" t="n">
        <v>0</v>
      </c>
      <c r="M30" s="15">
        <f>(K30+L30)/I30</f>
        <v/>
      </c>
      <c r="N30" s="13" t="n">
        <v>1.6</v>
      </c>
      <c r="O30" s="6" t="n">
        <v>1.94</v>
      </c>
      <c r="P30" s="6" t="n">
        <v>0.68</v>
      </c>
      <c r="Q30" s="16" t="n">
        <v>0.77</v>
      </c>
      <c r="R30" s="13" t="n">
        <v>14.1</v>
      </c>
      <c r="S30" s="17">
        <f>IF(AND(ISNUMBER(Q30),Q30&gt;0),R30/Q30,"-")</f>
        <v/>
      </c>
      <c r="T30" s="9" t="n">
        <v>49</v>
      </c>
    </row>
    <row r="31">
      <c r="A31" t="inlineStr">
        <is>
          <t>Drayvenn</t>
        </is>
      </c>
      <c r="B31" t="inlineStr">
        <is>
          <t>Space &amp; Defense</t>
        </is>
      </c>
      <c r="C31" t="inlineStr">
        <is>
          <t>Fund I</t>
        </is>
      </c>
      <c r="D31" t="inlineStr">
        <is>
          <t>Public</t>
        </is>
      </c>
      <c r="E31" t="inlineStr">
        <is>
          <t>Active</t>
        </is>
      </c>
      <c r="F31" s="12" t="n">
        <v>44208</v>
      </c>
      <c r="G31" s="12" t="n">
        <v>46477</v>
      </c>
      <c r="H31" s="13" t="n">
        <v>3931</v>
      </c>
      <c r="I31" s="13" t="n">
        <v>20</v>
      </c>
      <c r="J31" s="14" t="n">
        <v>0.028</v>
      </c>
      <c r="K31" s="13" t="n">
        <v>109.2</v>
      </c>
      <c r="L31" s="13" t="n">
        <v>0</v>
      </c>
      <c r="M31" s="15">
        <f>(K31+L31)/I31</f>
        <v/>
      </c>
      <c r="N31" s="13" t="n">
        <v>148.9</v>
      </c>
      <c r="O31" s="6" t="n">
        <v>0.43</v>
      </c>
      <c r="P31" s="6" t="n">
        <v>0.46</v>
      </c>
      <c r="Q31" s="16" t="n">
        <v>1.51</v>
      </c>
      <c r="R31" s="13" t="n">
        <v>40.3</v>
      </c>
      <c r="S31" s="17">
        <f>IF(AND(ISNUMBER(Q31),Q31&gt;0),R31/Q31,"-")</f>
        <v/>
      </c>
      <c r="T31" s="9" t="n">
        <v>1413</v>
      </c>
    </row>
    <row r="32">
      <c r="A32" t="inlineStr">
        <is>
          <t>Eastport Compute</t>
        </is>
      </c>
      <c r="B32" t="inlineStr">
        <is>
          <t>Enterprise SaaS</t>
        </is>
      </c>
      <c r="C32" t="inlineStr">
        <is>
          <t>Fund III</t>
        </is>
      </c>
      <c r="D32" t="inlineStr">
        <is>
          <t>Series A</t>
        </is>
      </c>
      <c r="E32" t="inlineStr">
        <is>
          <t>Active</t>
        </is>
      </c>
      <c r="F32" s="12" t="n">
        <v>45618</v>
      </c>
      <c r="G32" s="12" t="n">
        <v>45898</v>
      </c>
      <c r="H32" s="13" t="n">
        <v>14.2</v>
      </c>
      <c r="I32" s="13" t="n">
        <v>6</v>
      </c>
      <c r="J32" s="14" t="n">
        <v>0.122</v>
      </c>
      <c r="K32" s="13" t="n">
        <v>1.7</v>
      </c>
      <c r="L32" s="13" t="n">
        <v>0</v>
      </c>
      <c r="M32" s="15">
        <f>(K32+L32)/I32</f>
        <v/>
      </c>
      <c r="N32" s="13" t="n">
        <v>6.1</v>
      </c>
      <c r="O32" s="6" t="n">
        <v>0.42</v>
      </c>
      <c r="P32" s="6" t="n">
        <v>0.84</v>
      </c>
      <c r="Q32" s="16" t="n">
        <v>0.55</v>
      </c>
      <c r="R32" s="13" t="n">
        <v>11.6</v>
      </c>
      <c r="S32" s="17">
        <f>IF(AND(ISNUMBER(Q32),Q32&gt;0),R32/Q32,"-")</f>
        <v/>
      </c>
      <c r="T32" s="9" t="n">
        <v>22</v>
      </c>
    </row>
    <row r="33">
      <c r="A33" t="inlineStr">
        <is>
          <t>Fallowmere</t>
        </is>
      </c>
      <c r="B33" t="inlineStr">
        <is>
          <t>Data &amp; Analytics</t>
        </is>
      </c>
      <c r="C33" t="inlineStr">
        <is>
          <t>Fund I</t>
        </is>
      </c>
      <c r="D33" t="inlineStr">
        <is>
          <t>Series B</t>
        </is>
      </c>
      <c r="E33" t="inlineStr">
        <is>
          <t>Active</t>
        </is>
      </c>
      <c r="F33" s="12" t="n">
        <v>44139</v>
      </c>
      <c r="G33" s="12" t="n">
        <v>45342</v>
      </c>
      <c r="H33" s="13" t="n">
        <v>258.1</v>
      </c>
      <c r="I33" s="13" t="n">
        <v>4</v>
      </c>
      <c r="J33" s="14" t="n">
        <v>0.04</v>
      </c>
      <c r="K33" s="13" t="n">
        <v>10.3</v>
      </c>
      <c r="L33" s="13" t="n">
        <v>0</v>
      </c>
      <c r="M33" s="15">
        <f>(K33+L33)/I33</f>
        <v/>
      </c>
      <c r="N33" s="13" t="n">
        <v>21.4</v>
      </c>
      <c r="O33" s="6" t="n">
        <v>1.14</v>
      </c>
      <c r="P33" s="6" t="n">
        <v>0.63</v>
      </c>
      <c r="Q33" s="16" t="n">
        <v>1.18</v>
      </c>
      <c r="R33" s="13" t="n">
        <v>30.5</v>
      </c>
      <c r="S33" s="17">
        <f>IF(AND(ISNUMBER(Q33),Q33&gt;0),R33/Q33,"-")</f>
        <v/>
      </c>
      <c r="T33" s="9" t="n">
        <v>143</v>
      </c>
    </row>
    <row r="34">
      <c r="A34" t="inlineStr">
        <is>
          <t>Glintworks</t>
        </is>
      </c>
      <c r="B34" t="inlineStr">
        <is>
          <t>Fintech</t>
        </is>
      </c>
      <c r="C34" t="inlineStr">
        <is>
          <t>Fund I</t>
        </is>
      </c>
      <c r="D34" t="inlineStr">
        <is>
          <t>Series C</t>
        </is>
      </c>
      <c r="E34" t="inlineStr">
        <is>
          <t>Active</t>
        </is>
      </c>
      <c r="F34" s="12" t="n">
        <v>43583</v>
      </c>
      <c r="G34" s="12" t="n">
        <v>45116</v>
      </c>
      <c r="H34" s="13" t="n">
        <v>326</v>
      </c>
      <c r="I34" s="13" t="n">
        <v>14</v>
      </c>
      <c r="J34" s="14" t="n">
        <v>0.044</v>
      </c>
      <c r="K34" s="13" t="n">
        <v>14.3</v>
      </c>
      <c r="L34" s="13" t="n">
        <v>0</v>
      </c>
      <c r="M34" s="15">
        <f>(K34+L34)/I34</f>
        <v/>
      </c>
      <c r="N34" s="13" t="n">
        <v>39.1</v>
      </c>
      <c r="O34" s="6" t="n">
        <v>0.73</v>
      </c>
      <c r="P34" s="6" t="n">
        <v>0.5</v>
      </c>
      <c r="Q34" s="16" t="n">
        <v>1.89</v>
      </c>
      <c r="R34" s="13" t="n">
        <v>53.9</v>
      </c>
      <c r="S34" s="17">
        <f>IF(AND(ISNUMBER(Q34),Q34&gt;0),R34/Q34,"-")</f>
        <v/>
      </c>
      <c r="T34" s="9" t="n">
        <v>571</v>
      </c>
    </row>
    <row r="35">
      <c r="A35" t="inlineStr">
        <is>
          <t>Hollowpine Robotics</t>
        </is>
      </c>
      <c r="B35" t="inlineStr">
        <is>
          <t>AI/ML</t>
        </is>
      </c>
      <c r="C35" t="inlineStr">
        <is>
          <t>Fund II</t>
        </is>
      </c>
      <c r="D35" t="inlineStr">
        <is>
          <t>Series C</t>
        </is>
      </c>
      <c r="E35" t="inlineStr">
        <is>
          <t>Active</t>
        </is>
      </c>
      <c r="F35" s="12" t="n">
        <v>44959</v>
      </c>
      <c r="G35" s="12" t="n">
        <v>45272</v>
      </c>
      <c r="H35" s="13" t="n">
        <v>780.4</v>
      </c>
      <c r="I35" s="13" t="n">
        <v>11.9</v>
      </c>
      <c r="J35" s="14" t="n">
        <v>0.039</v>
      </c>
      <c r="K35" s="13" t="n">
        <v>30.4</v>
      </c>
      <c r="L35" s="13" t="n">
        <v>0</v>
      </c>
      <c r="M35" s="15">
        <f>(K35+L35)/I35</f>
        <v/>
      </c>
      <c r="N35" s="13" t="n">
        <v>74.7</v>
      </c>
      <c r="O35" s="6" t="n">
        <v>0.62</v>
      </c>
      <c r="P35" s="6" t="n">
        <v>0.7</v>
      </c>
      <c r="Q35" s="16" t="n">
        <v>1.77</v>
      </c>
      <c r="R35" s="13" t="n">
        <v>43.1</v>
      </c>
      <c r="S35" s="17">
        <f>IF(AND(ISNUMBER(Q35),Q35&gt;0),R35/Q35,"-")</f>
        <v/>
      </c>
      <c r="T35" s="9" t="n">
        <v>412</v>
      </c>
    </row>
    <row r="36">
      <c r="A36" t="inlineStr">
        <is>
          <t>Isoquill</t>
        </is>
      </c>
      <c r="B36" t="inlineStr">
        <is>
          <t>AI/ML</t>
        </is>
      </c>
      <c r="C36" t="inlineStr">
        <is>
          <t>Fund I</t>
        </is>
      </c>
      <c r="D36" t="inlineStr">
        <is>
          <t>Series B</t>
        </is>
      </c>
      <c r="E36" t="inlineStr">
        <is>
          <t>Active</t>
        </is>
      </c>
      <c r="F36" s="12" t="n">
        <v>43773</v>
      </c>
      <c r="G36" s="12" t="n">
        <v>44856</v>
      </c>
      <c r="H36" s="13" t="n">
        <v>261.2</v>
      </c>
      <c r="I36" s="13" t="n">
        <v>10</v>
      </c>
      <c r="J36" s="14" t="n">
        <v>0.056</v>
      </c>
      <c r="K36" s="13" t="n">
        <v>14.6</v>
      </c>
      <c r="L36" s="13" t="n">
        <v>0</v>
      </c>
      <c r="M36" s="15">
        <f>(K36+L36)/I36</f>
        <v/>
      </c>
      <c r="N36" s="13" t="n">
        <v>26.1</v>
      </c>
      <c r="O36" s="6" t="n">
        <v>-0.2</v>
      </c>
      <c r="P36" s="6" t="n">
        <v>0.63</v>
      </c>
      <c r="Q36" s="16" t="n">
        <v>1.74</v>
      </c>
      <c r="R36" s="13" t="n">
        <v>35.5</v>
      </c>
      <c r="S36" s="17">
        <f>IF(AND(ISNUMBER(Q36),Q36&gt;0),R36/Q36,"-")</f>
        <v/>
      </c>
      <c r="T36" s="9" t="n">
        <v>120</v>
      </c>
    </row>
    <row r="37">
      <c r="A37" t="inlineStr">
        <is>
          <t>Jupelan</t>
        </is>
      </c>
      <c r="B37" t="inlineStr">
        <is>
          <t>Cybersecurity</t>
        </is>
      </c>
      <c r="C37" t="inlineStr">
        <is>
          <t>Fund II</t>
        </is>
      </c>
      <c r="D37" t="inlineStr">
        <is>
          <t>Series B</t>
        </is>
      </c>
      <c r="E37" t="inlineStr">
        <is>
          <t>Active</t>
        </is>
      </c>
      <c r="F37" s="12" t="n">
        <v>45072</v>
      </c>
      <c r="G37" s="12" t="n">
        <v>45354</v>
      </c>
      <c r="H37" s="13" t="n">
        <v>192.9</v>
      </c>
      <c r="I37" s="13" t="n">
        <v>10</v>
      </c>
      <c r="J37" s="14" t="n">
        <v>0.074</v>
      </c>
      <c r="K37" s="13" t="n">
        <v>14.3</v>
      </c>
      <c r="L37" s="13" t="n">
        <v>0</v>
      </c>
      <c r="M37" s="15">
        <f>(K37+L37)/I37</f>
        <v/>
      </c>
      <c r="N37" s="13" t="n">
        <v>28.6</v>
      </c>
      <c r="O37" s="6" t="n">
        <v>0.84</v>
      </c>
      <c r="P37" s="6" t="n">
        <v>0.74</v>
      </c>
      <c r="Q37" s="16" t="n">
        <v>1</v>
      </c>
      <c r="R37" s="13" t="n">
        <v>2</v>
      </c>
      <c r="S37" s="17">
        <f>IF(AND(ISNUMBER(Q37),Q37&gt;0),R37/Q37,"-")</f>
        <v/>
      </c>
      <c r="T37" s="9" t="n">
        <v>185</v>
      </c>
    </row>
    <row r="38">
      <c r="A38" t="inlineStr">
        <is>
          <t>Kestwick</t>
        </is>
      </c>
      <c r="B38" t="inlineStr">
        <is>
          <t>Fintech</t>
        </is>
      </c>
      <c r="C38" t="inlineStr">
        <is>
          <t>Fund III</t>
        </is>
      </c>
      <c r="D38" t="inlineStr">
        <is>
          <t>Seed</t>
        </is>
      </c>
      <c r="E38" t="inlineStr">
        <is>
          <t>Active</t>
        </is>
      </c>
      <c r="F38" s="12" t="n">
        <v>45451</v>
      </c>
      <c r="G38" s="12" t="n">
        <v>45451</v>
      </c>
      <c r="H38" s="13" t="n">
        <v>12</v>
      </c>
      <c r="I38" s="13" t="n">
        <v>1.1</v>
      </c>
      <c r="J38" s="14" t="n">
        <v>0.078</v>
      </c>
      <c r="K38" s="13" t="n">
        <v>0.9</v>
      </c>
      <c r="L38" s="13" t="n">
        <v>0</v>
      </c>
      <c r="M38" s="15">
        <f>(K38+L38)/I38</f>
        <v/>
      </c>
      <c r="N38" s="13" t="n">
        <v>0.6</v>
      </c>
      <c r="O38" s="6" t="n">
        <v>3</v>
      </c>
      <c r="P38" s="6" t="n">
        <v>0.54</v>
      </c>
      <c r="Q38" s="16" t="n">
        <v>0.2</v>
      </c>
      <c r="R38" s="13" t="n">
        <v>4.1</v>
      </c>
      <c r="S38" s="17">
        <f>IF(AND(ISNUMBER(Q38),Q38&gt;0),R38/Q38,"-")</f>
        <v/>
      </c>
      <c r="T38" s="9" t="n">
        <v>16</v>
      </c>
    </row>
    <row r="39">
      <c r="A39" t="inlineStr">
        <is>
          <t>Larkspell</t>
        </is>
      </c>
      <c r="B39" t="inlineStr">
        <is>
          <t>Consumer</t>
        </is>
      </c>
      <c r="C39" t="inlineStr">
        <is>
          <t>Fund II</t>
        </is>
      </c>
      <c r="D39" t="inlineStr">
        <is>
          <t>Series A</t>
        </is>
      </c>
      <c r="E39" t="inlineStr">
        <is>
          <t>Shut Down</t>
        </is>
      </c>
      <c r="F39" s="12" t="n">
        <v>44580</v>
      </c>
      <c r="G39" s="12" t="n">
        <v>45607</v>
      </c>
      <c r="H39" s="13" t="n">
        <v>86.90000000000001</v>
      </c>
      <c r="I39" s="13" t="n">
        <v>6</v>
      </c>
      <c r="J39" s="14" t="n">
        <v>0.131</v>
      </c>
      <c r="K39" s="13" t="n">
        <v>0</v>
      </c>
      <c r="L39" s="13" t="n">
        <v>0.4</v>
      </c>
      <c r="M39" s="15">
        <f>(K39+L39)/I39</f>
        <v/>
      </c>
      <c r="N39" s="13" t="n"/>
      <c r="O39" s="6" t="n"/>
      <c r="P39" s="6" t="n"/>
      <c r="Q39" s="16" t="n"/>
      <c r="R39" s="13" t="n"/>
      <c r="S39" s="17">
        <f>IF(AND(ISNUMBER(Q39),Q39&gt;0),R39/Q39,"-")</f>
        <v/>
      </c>
      <c r="T39" s="9" t="n"/>
    </row>
    <row r="40">
      <c r="A40" t="inlineStr">
        <is>
          <t>Mossbriar Bio</t>
        </is>
      </c>
      <c r="B40" t="inlineStr">
        <is>
          <t>Developer Tools</t>
        </is>
      </c>
      <c r="C40" t="inlineStr">
        <is>
          <t>Fund II</t>
        </is>
      </c>
      <c r="D40" t="inlineStr">
        <is>
          <t>Series D+</t>
        </is>
      </c>
      <c r="E40" t="inlineStr">
        <is>
          <t>Active</t>
        </is>
      </c>
      <c r="F40" s="12" t="n">
        <v>45090</v>
      </c>
      <c r="G40" s="12" t="n">
        <v>45497</v>
      </c>
      <c r="H40" s="13" t="n">
        <v>2012.1</v>
      </c>
      <c r="I40" s="13" t="n">
        <v>16</v>
      </c>
      <c r="J40" s="14" t="n">
        <v>0.015</v>
      </c>
      <c r="K40" s="13" t="n">
        <v>30.2</v>
      </c>
      <c r="L40" s="13" t="n">
        <v>0</v>
      </c>
      <c r="M40" s="15">
        <f>(K40+L40)/I40</f>
        <v/>
      </c>
      <c r="N40" s="13" t="n">
        <v>227.3</v>
      </c>
      <c r="O40" s="6" t="n">
        <v>0.48</v>
      </c>
      <c r="P40" s="6" t="n">
        <v>0.76</v>
      </c>
      <c r="Q40" s="16" t="n">
        <v>3.46</v>
      </c>
      <c r="R40" s="13" t="n">
        <v>76.3</v>
      </c>
      <c r="S40" s="17">
        <f>IF(AND(ISNUMBER(Q40),Q40&gt;0),R40/Q40,"-")</f>
        <v/>
      </c>
      <c r="T40" s="9" t="n">
        <v>906</v>
      </c>
    </row>
    <row r="41">
      <c r="A41" t="inlineStr">
        <is>
          <t>Nightloom Security</t>
        </is>
      </c>
      <c r="B41" t="inlineStr">
        <is>
          <t>Enterprise SaaS</t>
        </is>
      </c>
      <c r="C41" t="inlineStr">
        <is>
          <t>Fund II</t>
        </is>
      </c>
      <c r="D41" t="inlineStr">
        <is>
          <t>Seed</t>
        </is>
      </c>
      <c r="E41" t="inlineStr">
        <is>
          <t>Active</t>
        </is>
      </c>
      <c r="F41" s="12" t="n">
        <v>45055</v>
      </c>
      <c r="G41" s="12" t="n">
        <v>45055</v>
      </c>
      <c r="H41" s="13" t="n">
        <v>9.800000000000001</v>
      </c>
      <c r="I41" s="13" t="n">
        <v>1.1</v>
      </c>
      <c r="J41" s="14" t="n">
        <v>0.079</v>
      </c>
      <c r="K41" s="13" t="n">
        <v>0.8</v>
      </c>
      <c r="L41" s="13" t="n">
        <v>0</v>
      </c>
      <c r="M41" s="15">
        <f>(K41+L41)/I41</f>
        <v/>
      </c>
      <c r="N41" s="13" t="n">
        <v>1.2</v>
      </c>
      <c r="O41" s="6" t="n">
        <v>0.64</v>
      </c>
      <c r="P41" s="6" t="n">
        <v>0.8</v>
      </c>
      <c r="Q41" s="16" t="n">
        <v>0.3</v>
      </c>
      <c r="R41" s="13" t="n">
        <v>6.6</v>
      </c>
      <c r="S41" s="17">
        <f>IF(AND(ISNUMBER(Q41),Q41&gt;0),R41/Q41,"-")</f>
        <v/>
      </c>
      <c r="T41" s="9" t="n">
        <v>12</v>
      </c>
    </row>
    <row r="42">
      <c r="A42" t="inlineStr">
        <is>
          <t>Oakenvale</t>
        </is>
      </c>
      <c r="B42" t="inlineStr">
        <is>
          <t>Healthcare</t>
        </is>
      </c>
      <c r="C42" t="inlineStr">
        <is>
          <t>Fund III</t>
        </is>
      </c>
      <c r="D42" t="inlineStr">
        <is>
          <t>Series B</t>
        </is>
      </c>
      <c r="E42" t="inlineStr">
        <is>
          <t>Active</t>
        </is>
      </c>
      <c r="F42" s="12" t="n">
        <v>45445</v>
      </c>
      <c r="G42" s="12" t="n">
        <v>46266</v>
      </c>
      <c r="H42" s="13" t="n">
        <v>37</v>
      </c>
      <c r="I42" s="13" t="n">
        <v>5.9</v>
      </c>
      <c r="J42" s="14" t="n">
        <v>0.063</v>
      </c>
      <c r="K42" s="13" t="n">
        <v>2.331</v>
      </c>
      <c r="L42" s="13" t="n">
        <v>0</v>
      </c>
      <c r="M42" s="15">
        <f>(K42+L42)/I42</f>
        <v/>
      </c>
      <c r="N42" s="13" t="n">
        <v>3.6</v>
      </c>
      <c r="O42" s="6" t="n">
        <v>-0.08</v>
      </c>
      <c r="P42" s="6" t="n">
        <v>0.51</v>
      </c>
      <c r="Q42" s="16" t="n">
        <v>0.5600000000000001</v>
      </c>
      <c r="R42" s="13" t="n">
        <v>13.2</v>
      </c>
      <c r="S42" s="17">
        <f>IF(AND(ISNUMBER(Q42),Q42&gt;0),R42/Q42,"-")</f>
        <v/>
      </c>
      <c r="T42" s="9" t="n">
        <v>64</v>
      </c>
    </row>
    <row r="43">
      <c r="A43" t="inlineStr">
        <is>
          <t>Pinwhistle</t>
        </is>
      </c>
      <c r="B43" t="inlineStr">
        <is>
          <t>Cybersecurity</t>
        </is>
      </c>
      <c r="C43" t="inlineStr">
        <is>
          <t>Fund II</t>
        </is>
      </c>
      <c r="D43" t="inlineStr">
        <is>
          <t>Series A</t>
        </is>
      </c>
      <c r="E43" t="inlineStr">
        <is>
          <t>Active</t>
        </is>
      </c>
      <c r="F43" s="12" t="n">
        <v>44896</v>
      </c>
      <c r="G43" s="12" t="n">
        <v>45278</v>
      </c>
      <c r="H43" s="13" t="n">
        <v>87.7</v>
      </c>
      <c r="I43" s="13" t="n">
        <v>6</v>
      </c>
      <c r="J43" s="14" t="n">
        <v>0.083</v>
      </c>
      <c r="K43" s="13" t="n">
        <v>7.2791</v>
      </c>
      <c r="L43" s="13" t="n">
        <v>0</v>
      </c>
      <c r="M43" s="15">
        <f>(K43+L43)/I43</f>
        <v/>
      </c>
      <c r="N43" s="13" t="n">
        <v>2.8</v>
      </c>
      <c r="O43" s="6" t="n">
        <v>0.51</v>
      </c>
      <c r="P43" s="6" t="n">
        <v>0.72</v>
      </c>
      <c r="Q43" s="16" t="n">
        <v>0.75</v>
      </c>
      <c r="R43" s="13" t="n">
        <v>20.8</v>
      </c>
      <c r="S43" s="17">
        <f>IF(AND(ISNUMBER(Q43),Q43&gt;0),R43/Q43,"-")</f>
        <v/>
      </c>
      <c r="T43" s="9" t="n">
        <v>30</v>
      </c>
    </row>
    <row r="44">
      <c r="A44" t="inlineStr">
        <is>
          <t>Quarrystone AI</t>
        </is>
      </c>
      <c r="B44" t="inlineStr">
        <is>
          <t>AI/ML</t>
        </is>
      </c>
      <c r="C44" t="inlineStr">
        <is>
          <t>Fund III</t>
        </is>
      </c>
      <c r="D44" t="inlineStr">
        <is>
          <t>Seed</t>
        </is>
      </c>
      <c r="E44" t="inlineStr">
        <is>
          <t>Active</t>
        </is>
      </c>
      <c r="F44" s="12" t="n">
        <v>46009</v>
      </c>
      <c r="G44" s="12" t="n">
        <v>46009</v>
      </c>
      <c r="H44" s="13" t="n">
        <v>15.1</v>
      </c>
      <c r="I44" s="13" t="n">
        <v>1.8</v>
      </c>
      <c r="J44" s="14" t="n">
        <v>0.106</v>
      </c>
      <c r="K44" s="13" t="n">
        <v>1.6</v>
      </c>
      <c r="L44" s="13" t="n">
        <v>0</v>
      </c>
      <c r="M44" s="15">
        <f>(K44+L44)/I44</f>
        <v/>
      </c>
      <c r="N44" s="13" t="n">
        <v>1.4</v>
      </c>
      <c r="O44" s="6" t="n">
        <v>-0.32</v>
      </c>
      <c r="P44" s="6" t="n">
        <v>0.6899999999999999</v>
      </c>
      <c r="Q44" s="16" t="n">
        <v>0.29</v>
      </c>
      <c r="R44" s="13" t="n">
        <v>8.199999999999999</v>
      </c>
      <c r="S44" s="17">
        <f>IF(AND(ISNUMBER(Q44),Q44&gt;0),R44/Q44,"-")</f>
        <v/>
      </c>
      <c r="T44" s="9" t="n">
        <v>8</v>
      </c>
    </row>
    <row r="45">
      <c r="A45" t="inlineStr">
        <is>
          <t>Redgrove Health</t>
        </is>
      </c>
      <c r="B45" t="inlineStr">
        <is>
          <t>Robotics</t>
        </is>
      </c>
      <c r="C45" t="inlineStr">
        <is>
          <t>Fund II</t>
        </is>
      </c>
      <c r="D45" t="inlineStr">
        <is>
          <t>Series B</t>
        </is>
      </c>
      <c r="E45" t="inlineStr">
        <is>
          <t>Active</t>
        </is>
      </c>
      <c r="F45" s="12" t="n">
        <v>44423</v>
      </c>
      <c r="G45" s="12" t="n">
        <v>46461</v>
      </c>
      <c r="H45" s="13" t="n">
        <v>40</v>
      </c>
      <c r="I45" s="13" t="n">
        <v>4.4</v>
      </c>
      <c r="J45" s="14" t="n">
        <v>0.1075</v>
      </c>
      <c r="K45" s="13" t="n">
        <v>4.3</v>
      </c>
      <c r="L45" s="13" t="n">
        <v>0</v>
      </c>
      <c r="M45" s="15">
        <f>(K45+L45)/I45</f>
        <v/>
      </c>
      <c r="N45" s="13" t="n">
        <v>2</v>
      </c>
      <c r="O45" s="6" t="n">
        <v>1.11</v>
      </c>
      <c r="P45" s="6" t="n">
        <v>0.39</v>
      </c>
      <c r="Q45" s="16" t="n">
        <v>0.34</v>
      </c>
      <c r="R45" s="13" t="n">
        <v>5.1</v>
      </c>
      <c r="S45" s="17">
        <f>IF(AND(ISNUMBER(Q45),Q45&gt;0),R45/Q45,"-")</f>
        <v/>
      </c>
      <c r="T45" s="9" t="n">
        <v>37</v>
      </c>
    </row>
    <row r="46">
      <c r="A46" t="inlineStr">
        <is>
          <t>Saltmarsh Analytics</t>
        </is>
      </c>
      <c r="B46" t="inlineStr">
        <is>
          <t>Infrastructure</t>
        </is>
      </c>
      <c r="C46" t="inlineStr">
        <is>
          <t>Fund III</t>
        </is>
      </c>
      <c r="D46" t="inlineStr">
        <is>
          <t>Series A</t>
        </is>
      </c>
      <c r="E46" t="inlineStr">
        <is>
          <t>Active</t>
        </is>
      </c>
      <c r="F46" s="12" t="n">
        <v>45374</v>
      </c>
      <c r="G46" s="12" t="n">
        <v>46168</v>
      </c>
      <c r="H46" s="13" t="n">
        <v>87.7</v>
      </c>
      <c r="I46" s="13" t="n">
        <v>5.8</v>
      </c>
      <c r="J46" s="14" t="n">
        <v>0.062</v>
      </c>
      <c r="K46" s="13" t="n">
        <v>5.4</v>
      </c>
      <c r="L46" s="13" t="n">
        <v>0</v>
      </c>
      <c r="M46" s="15">
        <f>(K46+L46)/I46</f>
        <v/>
      </c>
      <c r="N46" s="13" t="n">
        <v>2.2</v>
      </c>
      <c r="O46" s="6" t="n">
        <v>1.16</v>
      </c>
      <c r="P46" s="6" t="n">
        <v>0.45</v>
      </c>
      <c r="Q46" s="16" t="n">
        <v>0.55</v>
      </c>
      <c r="R46" s="13" t="n">
        <v>8.5</v>
      </c>
      <c r="S46" s="17">
        <f>IF(AND(ISNUMBER(Q46),Q46&gt;0),R46/Q46,"-")</f>
        <v/>
      </c>
      <c r="T46" s="9" t="n">
        <v>34</v>
      </c>
    </row>
    <row r="47">
      <c r="A47" t="inlineStr">
        <is>
          <t>Thistledown Energy</t>
        </is>
      </c>
      <c r="B47" t="inlineStr">
        <is>
          <t>Healthcare</t>
        </is>
      </c>
      <c r="C47" t="inlineStr">
        <is>
          <t>Fund III</t>
        </is>
      </c>
      <c r="D47" t="inlineStr">
        <is>
          <t>Seed</t>
        </is>
      </c>
      <c r="E47" t="inlineStr">
        <is>
          <t>Active</t>
        </is>
      </c>
      <c r="F47" s="12" t="n">
        <v>45224</v>
      </c>
      <c r="G47" s="12" t="n">
        <v>45634</v>
      </c>
      <c r="H47" s="13" t="n">
        <v>12</v>
      </c>
      <c r="I47" s="13" t="n">
        <v>1</v>
      </c>
      <c r="J47" s="14" t="n">
        <v>0.097</v>
      </c>
      <c r="K47" s="13" t="n">
        <v>1.2</v>
      </c>
      <c r="L47" s="13" t="n">
        <v>0</v>
      </c>
      <c r="M47" s="15">
        <f>(K47+L47)/I47</f>
        <v/>
      </c>
      <c r="N47" s="13" t="n">
        <v>0.6</v>
      </c>
      <c r="O47" s="6" t="n">
        <v>2.54</v>
      </c>
      <c r="P47" s="6" t="n">
        <v>0.49</v>
      </c>
      <c r="Q47" s="16" t="n">
        <v>0.33</v>
      </c>
      <c r="R47" s="13" t="n">
        <v>10.4</v>
      </c>
      <c r="S47" s="17">
        <f>IF(AND(ISNUMBER(Q47),Q47&gt;0),R47/Q47,"-")</f>
        <v/>
      </c>
      <c r="T47" s="9" t="n">
        <v>16</v>
      </c>
    </row>
    <row r="48">
      <c r="A48" t="inlineStr">
        <is>
          <t>Underbough</t>
        </is>
      </c>
      <c r="B48" t="inlineStr">
        <is>
          <t>Healthcare</t>
        </is>
      </c>
      <c r="C48" t="inlineStr">
        <is>
          <t>Fund III</t>
        </is>
      </c>
      <c r="D48" t="inlineStr">
        <is>
          <t>Seed</t>
        </is>
      </c>
      <c r="E48" t="inlineStr">
        <is>
          <t>Shut Down</t>
        </is>
      </c>
      <c r="F48" s="12" t="n">
        <v>45870</v>
      </c>
      <c r="G48" s="12" t="n">
        <v>45870</v>
      </c>
      <c r="H48" s="13" t="n">
        <v>10.3</v>
      </c>
      <c r="I48" s="13" t="n">
        <v>1.8</v>
      </c>
      <c r="J48" s="14" t="n">
        <v>0.096</v>
      </c>
      <c r="K48" s="13" t="n">
        <v>0</v>
      </c>
      <c r="L48" s="13" t="n">
        <v>0</v>
      </c>
      <c r="M48" s="15">
        <f>(K48+L48)/I48</f>
        <v/>
      </c>
      <c r="N48" s="13" t="n"/>
      <c r="O48" s="6" t="n"/>
      <c r="P48" s="6" t="n"/>
      <c r="Q48" s="16" t="n"/>
      <c r="R48" s="13" t="n"/>
      <c r="S48" s="17">
        <f>IF(AND(ISNUMBER(Q48),Q48&gt;0),R48/Q48,"-")</f>
        <v/>
      </c>
      <c r="T48" s="9" t="n"/>
    </row>
    <row r="49">
      <c r="A49" t="inlineStr">
        <is>
          <t>Vellichor Systems</t>
        </is>
      </c>
      <c r="B49" t="inlineStr">
        <is>
          <t>Developer Tools</t>
        </is>
      </c>
      <c r="C49" t="inlineStr">
        <is>
          <t>Fund III</t>
        </is>
      </c>
      <c r="D49" t="inlineStr">
        <is>
          <t>Series A</t>
        </is>
      </c>
      <c r="E49" t="inlineStr">
        <is>
          <t>Active</t>
        </is>
      </c>
      <c r="F49" s="12" t="n">
        <v>45232</v>
      </c>
      <c r="G49" s="12" t="n">
        <v>46091</v>
      </c>
      <c r="H49" s="13" t="n">
        <v>84.90000000000001</v>
      </c>
      <c r="I49" s="13" t="n">
        <v>6</v>
      </c>
      <c r="J49" s="14" t="n">
        <v>0.139</v>
      </c>
      <c r="K49" s="13" t="n">
        <v>11.8</v>
      </c>
      <c r="L49" s="13" t="n">
        <v>0</v>
      </c>
      <c r="M49" s="15">
        <f>(K49+L49)/I49</f>
        <v/>
      </c>
      <c r="N49" s="13" t="n">
        <v>5.7</v>
      </c>
      <c r="O49" s="6" t="n">
        <v>-0.15</v>
      </c>
      <c r="P49" s="6" t="n">
        <v>0.78</v>
      </c>
      <c r="Q49" s="16" t="n">
        <v>0.87</v>
      </c>
      <c r="R49" s="13" t="n">
        <v>22.1</v>
      </c>
      <c r="S49" s="17">
        <f>IF(AND(ISNUMBER(Q49),Q49&gt;0),R49/Q49,"-")</f>
        <v/>
      </c>
      <c r="T49" s="9" t="n">
        <v>61</v>
      </c>
    </row>
    <row r="50">
      <c r="A50" t="inlineStr">
        <is>
          <t>Westwilder</t>
        </is>
      </c>
      <c r="B50" t="inlineStr">
        <is>
          <t>Enterprise SaaS</t>
        </is>
      </c>
      <c r="C50" t="inlineStr">
        <is>
          <t>Fund I</t>
        </is>
      </c>
      <c r="D50" t="inlineStr">
        <is>
          <t>Series D+</t>
        </is>
      </c>
      <c r="E50" t="inlineStr">
        <is>
          <t>Active</t>
        </is>
      </c>
      <c r="F50" s="12" t="n">
        <v>44179</v>
      </c>
      <c r="G50" s="12" t="n">
        <v>44991</v>
      </c>
      <c r="H50" s="13" t="n">
        <v>2055.3</v>
      </c>
      <c r="I50" s="13" t="n">
        <v>20</v>
      </c>
      <c r="J50" s="14" t="n">
        <v>0.01</v>
      </c>
      <c r="K50" s="13" t="n">
        <v>20.6</v>
      </c>
      <c r="L50" s="13" t="n">
        <v>0</v>
      </c>
      <c r="M50" s="15">
        <f>(K50+L50)/I50</f>
        <v/>
      </c>
      <c r="N50" s="13" t="n">
        <v>201.8</v>
      </c>
      <c r="O50" s="6" t="n">
        <v>0.32</v>
      </c>
      <c r="P50" s="6" t="n">
        <v>0.82</v>
      </c>
      <c r="Q50" s="16" t="n">
        <v>3.4</v>
      </c>
      <c r="R50" s="13" t="n">
        <v>66</v>
      </c>
      <c r="S50" s="17">
        <f>IF(AND(ISNUMBER(Q50),Q50&gt;0),R50/Q50,"-")</f>
        <v/>
      </c>
      <c r="T50" s="9" t="n">
        <v>1186</v>
      </c>
    </row>
    <row r="51">
      <c r="A51" t="inlineStr">
        <is>
          <t>Yarrowbank</t>
        </is>
      </c>
      <c r="B51" t="inlineStr">
        <is>
          <t>Consumer</t>
        </is>
      </c>
      <c r="C51" t="inlineStr">
        <is>
          <t>Fund II</t>
        </is>
      </c>
      <c r="D51" t="inlineStr">
        <is>
          <t>Series A</t>
        </is>
      </c>
      <c r="E51" t="inlineStr">
        <is>
          <t>Active</t>
        </is>
      </c>
      <c r="F51" s="12" t="n">
        <v>44441</v>
      </c>
      <c r="G51" s="12" t="n">
        <v>45294</v>
      </c>
      <c r="H51" s="13" t="n">
        <v>7.7</v>
      </c>
      <c r="I51" s="13" t="n">
        <v>2.3</v>
      </c>
      <c r="J51" s="14" t="n">
        <v>0.08400000000000001</v>
      </c>
      <c r="K51" s="13" t="n">
        <v>0.6</v>
      </c>
      <c r="L51" s="13" t="n">
        <v>0.31</v>
      </c>
      <c r="M51" s="15">
        <f>(K51+L51)/I51</f>
        <v/>
      </c>
      <c r="N51" s="13" t="n">
        <v>7.5</v>
      </c>
      <c r="O51" s="6" t="n">
        <v>0.85</v>
      </c>
      <c r="P51" s="6" t="n">
        <v>0.57</v>
      </c>
      <c r="Q51" s="16" t="n">
        <v>0.6899999999999999</v>
      </c>
      <c r="R51" s="13" t="n">
        <v>21.3</v>
      </c>
      <c r="S51" s="17">
        <f>IF(AND(ISNUMBER(Q51),Q51&gt;0),R51/Q51,"-")</f>
        <v/>
      </c>
      <c r="T51" s="9" t="n">
        <v>26</v>
      </c>
    </row>
    <row r="52">
      <c r="A52" t="inlineStr">
        <is>
          <t>Zinniafold</t>
        </is>
      </c>
      <c r="B52" t="inlineStr">
        <is>
          <t>Healthcare</t>
        </is>
      </c>
      <c r="C52" t="inlineStr">
        <is>
          <t>Fund II</t>
        </is>
      </c>
      <c r="D52" t="inlineStr">
        <is>
          <t>Series A</t>
        </is>
      </c>
      <c r="E52" t="inlineStr">
        <is>
          <t>Active</t>
        </is>
      </c>
      <c r="F52" s="12" t="n">
        <v>44530</v>
      </c>
      <c r="G52" s="12" t="n">
        <v>45324</v>
      </c>
      <c r="H52" s="13" t="n">
        <v>30.2</v>
      </c>
      <c r="I52" s="13" t="n">
        <v>5.2</v>
      </c>
      <c r="J52" s="14" t="n">
        <v>0.123</v>
      </c>
      <c r="K52" s="13" t="n">
        <v>3.7</v>
      </c>
      <c r="L52" s="13" t="n">
        <v>0</v>
      </c>
      <c r="M52" s="15">
        <f>(K52+L52)/I52</f>
        <v/>
      </c>
      <c r="N52" s="13" t="n">
        <v>2</v>
      </c>
      <c r="O52" s="6" t="n">
        <v>1.68</v>
      </c>
      <c r="P52" s="6" t="n">
        <v>0.62</v>
      </c>
      <c r="Q52" s="16" t="n">
        <v>0.39</v>
      </c>
      <c r="R52" s="13" t="n">
        <v>6.9</v>
      </c>
      <c r="S52" s="17">
        <f>IF(AND(ISNUMBER(Q52),Q52&gt;0),R52/Q52,"-")</f>
        <v/>
      </c>
      <c r="T52" s="9" t="n">
        <v>57</v>
      </c>
    </row>
    <row r="53">
      <c r="A53" t="inlineStr">
        <is>
          <t>Ambercrest</t>
        </is>
      </c>
      <c r="B53" t="inlineStr">
        <is>
          <t>Data &amp; Analytics</t>
        </is>
      </c>
      <c r="C53" t="inlineStr">
        <is>
          <t>Fund II</t>
        </is>
      </c>
      <c r="D53" t="inlineStr">
        <is>
          <t>Series B</t>
        </is>
      </c>
      <c r="E53" t="inlineStr">
        <is>
          <t>Active</t>
        </is>
      </c>
      <c r="F53" s="12" t="n">
        <v>45150</v>
      </c>
      <c r="G53" s="12" t="n">
        <v>45995</v>
      </c>
      <c r="H53" s="13" t="n">
        <v>251.6</v>
      </c>
      <c r="I53" s="13" t="n">
        <v>5.6</v>
      </c>
      <c r="J53" s="14" t="n">
        <v>0.042</v>
      </c>
      <c r="K53" s="13" t="n">
        <v>10.6</v>
      </c>
      <c r="L53" s="13" t="n">
        <v>0</v>
      </c>
      <c r="M53" s="15">
        <f>(K53+L53)/I53</f>
        <v/>
      </c>
      <c r="N53" s="13" t="n">
        <v>10.8</v>
      </c>
      <c r="O53" s="6" t="n">
        <v>0.79</v>
      </c>
      <c r="P53" s="6" t="n">
        <v>0.63</v>
      </c>
      <c r="Q53" s="16" t="n">
        <v>1.33</v>
      </c>
      <c r="R53" s="13" t="n">
        <v>40.6</v>
      </c>
      <c r="S53" s="17">
        <f>IF(AND(ISNUMBER(Q53),Q53&gt;0),R53/Q53,"-")</f>
        <v/>
      </c>
      <c r="T53" s="9" t="n">
        <v>102</v>
      </c>
    </row>
    <row r="54">
      <c r="A54" t="inlineStr">
        <is>
          <t>Birchhollow</t>
        </is>
      </c>
      <c r="B54" t="inlineStr">
        <is>
          <t>Cybersecurity</t>
        </is>
      </c>
      <c r="C54" t="inlineStr">
        <is>
          <t>Fund I</t>
        </is>
      </c>
      <c r="D54" t="inlineStr">
        <is>
          <t>Series D+</t>
        </is>
      </c>
      <c r="E54" t="inlineStr">
        <is>
          <t>Active</t>
        </is>
      </c>
      <c r="F54" s="12" t="n">
        <v>43954</v>
      </c>
      <c r="G54" s="12" t="n">
        <v>44327</v>
      </c>
      <c r="H54" s="13" t="n">
        <v>1494.5</v>
      </c>
      <c r="I54" s="13" t="n">
        <v>15.6</v>
      </c>
      <c r="J54" s="14" t="n">
        <v>0.029</v>
      </c>
      <c r="K54" s="13" t="n">
        <v>28.145</v>
      </c>
      <c r="L54" s="13" t="n">
        <v>0</v>
      </c>
      <c r="M54" s="15">
        <f>(K54+L54)/I54</f>
        <v/>
      </c>
      <c r="N54" s="13" t="n">
        <v>129.4</v>
      </c>
      <c r="O54" s="6" t="n">
        <v>-0.25</v>
      </c>
      <c r="P54" s="6" t="n">
        <v>0.73</v>
      </c>
      <c r="Q54" s="16" t="n">
        <v>3.88</v>
      </c>
      <c r="R54" s="13" t="n">
        <v>71.59999999999999</v>
      </c>
      <c r="S54" s="17">
        <f>IF(AND(ISNUMBER(Q54),Q54&gt;0),R54/Q54,"-")</f>
        <v/>
      </c>
      <c r="T54" s="9" t="n">
        <v>1432</v>
      </c>
    </row>
    <row r="55">
      <c r="A55" t="inlineStr">
        <is>
          <t>Covebright</t>
        </is>
      </c>
      <c r="B55" t="inlineStr">
        <is>
          <t>Fintech</t>
        </is>
      </c>
      <c r="C55" t="inlineStr">
        <is>
          <t>Fund I</t>
        </is>
      </c>
      <c r="D55" t="inlineStr">
        <is>
          <t>Series B</t>
        </is>
      </c>
      <c r="E55" t="inlineStr">
        <is>
          <t>Active</t>
        </is>
      </c>
      <c r="F55" s="12" t="n">
        <v>44171</v>
      </c>
      <c r="G55" s="12" t="n">
        <v>46089</v>
      </c>
      <c r="H55" s="13" t="n">
        <v>260.3</v>
      </c>
      <c r="I55" s="13" t="n">
        <v>4</v>
      </c>
      <c r="J55" s="14" t="n">
        <v>0.056</v>
      </c>
      <c r="K55" s="13" t="n">
        <v>14.6</v>
      </c>
      <c r="L55" s="13" t="n">
        <v>0</v>
      </c>
      <c r="M55" s="15">
        <f>(K55+L55)/I55</f>
        <v/>
      </c>
      <c r="N55" s="13" t="n">
        <v>24.8</v>
      </c>
      <c r="O55" s="6" t="n">
        <v>0.68</v>
      </c>
      <c r="P55" s="6" t="n">
        <v>0.46</v>
      </c>
      <c r="Q55" s="16" t="n">
        <v>1.94</v>
      </c>
      <c r="R55" s="13" t="n">
        <v>53.9</v>
      </c>
      <c r="S55" s="17">
        <f>IF(AND(ISNUMBER(Q55),Q55&gt;0),R55/Q55,"-")</f>
        <v/>
      </c>
      <c r="T55" s="9" t="n">
        <v>161</v>
      </c>
    </row>
    <row r="56">
      <c r="A56" t="inlineStr">
        <is>
          <t>Duskfern</t>
        </is>
      </c>
      <c r="B56" t="inlineStr">
        <is>
          <t>Data &amp; Analytics</t>
        </is>
      </c>
      <c r="C56" t="inlineStr">
        <is>
          <t>Fund II</t>
        </is>
      </c>
      <c r="D56" t="inlineStr">
        <is>
          <t>Series B</t>
        </is>
      </c>
      <c r="E56" t="inlineStr">
        <is>
          <t>Active</t>
        </is>
      </c>
      <c r="F56" s="12" t="n">
        <v>44566</v>
      </c>
      <c r="G56" s="12" t="n">
        <v>46315</v>
      </c>
      <c r="H56" s="13" t="n">
        <v>150</v>
      </c>
      <c r="I56" s="13" t="n">
        <v>7.1</v>
      </c>
      <c r="J56" s="14" t="n">
        <v>0.089</v>
      </c>
      <c r="K56" s="13" t="n">
        <v>13.35</v>
      </c>
      <c r="L56" s="13" t="n">
        <v>0</v>
      </c>
      <c r="M56" s="15">
        <f>(K56+L56)/I56</f>
        <v/>
      </c>
      <c r="N56" s="13" t="n">
        <v>7</v>
      </c>
      <c r="O56" s="6" t="n">
        <v>1.12</v>
      </c>
      <c r="P56" s="6" t="n">
        <v>0.68</v>
      </c>
      <c r="Q56" s="16" t="n">
        <v>0.45</v>
      </c>
      <c r="R56" s="13" t="n">
        <v>2.3</v>
      </c>
      <c r="S56" s="17">
        <f>IF(AND(ISNUMBER(Q56),Q56&gt;0),R56/Q56,"-")</f>
        <v/>
      </c>
      <c r="T56" s="9" t="n">
        <v>61</v>
      </c>
    </row>
    <row r="57">
      <c r="A57" t="inlineStr">
        <is>
          <t>Elmsworth Data</t>
        </is>
      </c>
      <c r="B57" t="inlineStr">
        <is>
          <t>AI/ML</t>
        </is>
      </c>
      <c r="C57" t="inlineStr">
        <is>
          <t>Fund II</t>
        </is>
      </c>
      <c r="D57" t="inlineStr">
        <is>
          <t>Series B</t>
        </is>
      </c>
      <c r="E57" t="inlineStr">
        <is>
          <t>Active</t>
        </is>
      </c>
      <c r="F57" s="12" t="n">
        <v>44558</v>
      </c>
      <c r="G57" s="12" t="n">
        <v>45633</v>
      </c>
      <c r="H57" s="13" t="n">
        <v>626.9</v>
      </c>
      <c r="I57" s="13" t="n">
        <v>5</v>
      </c>
      <c r="J57" s="14" t="n">
        <v>0.038</v>
      </c>
      <c r="K57" s="13" t="n">
        <v>23.8</v>
      </c>
      <c r="L57" s="13" t="n">
        <v>0</v>
      </c>
      <c r="M57" s="15">
        <f>(K57+L57)/I57</f>
        <v/>
      </c>
      <c r="N57" s="13" t="n">
        <v>13.1</v>
      </c>
      <c r="O57" s="6" t="n">
        <v>0.98</v>
      </c>
      <c r="P57" s="6" t="n">
        <v>0.76</v>
      </c>
      <c r="Q57" s="16" t="n">
        <v>0.91</v>
      </c>
      <c r="R57" s="13" t="n">
        <v>22.4</v>
      </c>
      <c r="S57" s="17">
        <f>IF(AND(ISNUMBER(Q57),Q57&gt;0),R57/Q57,"-")</f>
        <v/>
      </c>
      <c r="T57" s="9" t="n">
        <v>103</v>
      </c>
    </row>
    <row r="58">
      <c r="A58" t="inlineStr">
        <is>
          <t>Foxtrellis</t>
        </is>
      </c>
      <c r="B58" t="inlineStr">
        <is>
          <t>Climate &amp; Energy</t>
        </is>
      </c>
      <c r="C58" t="inlineStr">
        <is>
          <t>Fund I</t>
        </is>
      </c>
      <c r="D58" t="inlineStr">
        <is>
          <t>Series B</t>
        </is>
      </c>
      <c r="E58" t="inlineStr">
        <is>
          <t>Active</t>
        </is>
      </c>
      <c r="F58" s="12" t="n">
        <v>43995</v>
      </c>
      <c r="G58" s="12" t="n">
        <v>46428</v>
      </c>
      <c r="H58" s="13" t="n">
        <v>631.7</v>
      </c>
      <c r="I58" s="13" t="n">
        <v>4.5</v>
      </c>
      <c r="J58" s="14" t="n">
        <v>0.043</v>
      </c>
      <c r="K58" s="13" t="n">
        <v>27.1631</v>
      </c>
      <c r="L58" s="13" t="n">
        <v>0</v>
      </c>
      <c r="M58" s="15">
        <f>(K58+L58)/I58</f>
        <v/>
      </c>
      <c r="N58" s="13" t="n">
        <v>19.4</v>
      </c>
      <c r="O58" s="6" t="n">
        <v>1.03</v>
      </c>
      <c r="P58" s="6" t="n">
        <v>0.22</v>
      </c>
      <c r="Q58" s="16" t="n">
        <v>1.39</v>
      </c>
      <c r="R58" s="13" t="n">
        <v>43.2</v>
      </c>
      <c r="S58" s="17">
        <f>IF(AND(ISNUMBER(Q58),Q58&gt;0),R58/Q58,"-")</f>
        <v/>
      </c>
      <c r="T58" s="9" t="n">
        <v>212</v>
      </c>
    </row>
    <row r="59">
      <c r="A59" t="inlineStr">
        <is>
          <t>Gorseline</t>
        </is>
      </c>
      <c r="B59" t="inlineStr">
        <is>
          <t>AI/ML</t>
        </is>
      </c>
      <c r="C59" t="inlineStr">
        <is>
          <t>Fund III</t>
        </is>
      </c>
      <c r="D59" t="inlineStr">
        <is>
          <t>Series A</t>
        </is>
      </c>
      <c r="E59" t="inlineStr">
        <is>
          <t>Active</t>
        </is>
      </c>
      <c r="F59" s="12" t="n">
        <v>46070</v>
      </c>
      <c r="G59" s="12" t="n">
        <v>46070</v>
      </c>
      <c r="H59" s="13" t="n">
        <v>30.3</v>
      </c>
      <c r="I59" s="13" t="n">
        <v>2.1</v>
      </c>
      <c r="J59" s="14" t="n">
        <v>0.102</v>
      </c>
      <c r="K59" s="13" t="n">
        <v>3.1</v>
      </c>
      <c r="L59" s="13" t="n">
        <v>0</v>
      </c>
      <c r="M59" s="15">
        <f>(K59+L59)/I59</f>
        <v/>
      </c>
      <c r="N59" s="13" t="n">
        <v>6.3</v>
      </c>
      <c r="O59" s="6" t="n">
        <v>0.52</v>
      </c>
      <c r="P59" s="6" t="n">
        <v>0.61</v>
      </c>
      <c r="Q59" s="16" t="n">
        <v>0.78</v>
      </c>
      <c r="R59" s="13" t="n">
        <v>17.4</v>
      </c>
      <c r="S59" s="17">
        <f>IF(AND(ISNUMBER(Q59),Q59&gt;0),R59/Q59,"-")</f>
        <v/>
      </c>
      <c r="T59" s="9" t="n">
        <v>68</v>
      </c>
    </row>
    <row r="60">
      <c r="A60" t="inlineStr">
        <is>
          <t>Hearthwick</t>
        </is>
      </c>
      <c r="B60" t="inlineStr">
        <is>
          <t>Fintech</t>
        </is>
      </c>
      <c r="C60" t="inlineStr">
        <is>
          <t>Fund III</t>
        </is>
      </c>
      <c r="D60" t="inlineStr">
        <is>
          <t>Seed</t>
        </is>
      </c>
      <c r="E60" t="inlineStr">
        <is>
          <t>Acquired</t>
        </is>
      </c>
      <c r="F60" s="12" t="n">
        <v>45654</v>
      </c>
      <c r="G60" s="12" t="n">
        <v>46195</v>
      </c>
      <c r="H60" s="13" t="n">
        <v>8.9</v>
      </c>
      <c r="I60" s="13" t="n">
        <v>0.7</v>
      </c>
      <c r="J60" s="14" t="n">
        <v>0.08400000000000001</v>
      </c>
      <c r="K60" s="13" t="n">
        <v>0</v>
      </c>
      <c r="L60" s="13" t="n">
        <v>1.2</v>
      </c>
      <c r="M60" s="15">
        <f>(K60+L60)/I60</f>
        <v/>
      </c>
      <c r="N60" s="13" t="n"/>
      <c r="O60" s="6" t="n"/>
      <c r="P60" s="6" t="n"/>
      <c r="Q60" s="16" t="n"/>
      <c r="R60" s="13" t="n"/>
      <c r="S60" s="17">
        <f>IF(AND(ISNUMBER(Q60),Q60&gt;0),R60/Q60,"-")</f>
        <v/>
      </c>
      <c r="T60" s="9" t="n"/>
    </row>
    <row r="61">
      <c r="A61" t="inlineStr">
        <is>
          <t>Inkmoor</t>
        </is>
      </c>
      <c r="B61" t="inlineStr">
        <is>
          <t>Developer Tools</t>
        </is>
      </c>
      <c r="C61" t="inlineStr">
        <is>
          <t>Fund II</t>
        </is>
      </c>
      <c r="D61" t="inlineStr">
        <is>
          <t>Series A</t>
        </is>
      </c>
      <c r="E61" t="inlineStr">
        <is>
          <t>Active</t>
        </is>
      </c>
      <c r="F61" s="12" t="n">
        <v>45020</v>
      </c>
      <c r="G61" s="12" t="n">
        <v>45538</v>
      </c>
      <c r="H61" s="13" t="n">
        <v>24.7</v>
      </c>
      <c r="I61" s="13" t="n">
        <v>6</v>
      </c>
      <c r="J61" s="14" t="n">
        <v>0.12</v>
      </c>
      <c r="K61" s="13" t="n">
        <v>3</v>
      </c>
      <c r="L61" s="13" t="n">
        <v>0</v>
      </c>
      <c r="M61" s="15">
        <f>(K61+L61)/I61</f>
        <v/>
      </c>
      <c r="N61" s="13" t="n">
        <v>6.6</v>
      </c>
      <c r="O61" s="6" t="n">
        <v>1.28</v>
      </c>
      <c r="P61" s="6" t="n">
        <v>0.71</v>
      </c>
      <c r="Q61" s="16" t="n">
        <v>0.63</v>
      </c>
      <c r="R61" s="13" t="n">
        <v>14.3</v>
      </c>
      <c r="S61" s="17">
        <f>IF(AND(ISNUMBER(Q61),Q61&gt;0),R61/Q61,"-")</f>
        <v/>
      </c>
      <c r="T61" s="9" t="n">
        <v>29</v>
      </c>
    </row>
    <row r="62">
      <c r="A62" t="inlineStr">
        <is>
          <t>Jadewell Payments</t>
        </is>
      </c>
      <c r="B62" t="inlineStr">
        <is>
          <t>Robotics</t>
        </is>
      </c>
      <c r="C62" t="inlineStr">
        <is>
          <t>Fund III</t>
        </is>
      </c>
      <c r="D62" t="inlineStr">
        <is>
          <t>Series A</t>
        </is>
      </c>
      <c r="E62" t="inlineStr">
        <is>
          <t>Active</t>
        </is>
      </c>
      <c r="F62" s="12" t="n">
        <v>45366</v>
      </c>
      <c r="G62" s="12" t="n">
        <v>45906</v>
      </c>
      <c r="H62" s="13" t="n">
        <v>79</v>
      </c>
      <c r="I62" s="13" t="n">
        <v>4.6</v>
      </c>
      <c r="J62" s="14" t="n">
        <v>0.07099999999999999</v>
      </c>
      <c r="K62" s="13" t="n">
        <v>5.6</v>
      </c>
      <c r="L62" s="13" t="n">
        <v>0</v>
      </c>
      <c r="M62" s="15">
        <f>(K62+L62)/I62</f>
        <v/>
      </c>
      <c r="N62" s="13" t="n">
        <v>6.1</v>
      </c>
      <c r="O62" s="6" t="n">
        <v>1.04</v>
      </c>
      <c r="P62" s="6" t="n">
        <v>0.29</v>
      </c>
      <c r="Q62" s="16" t="n">
        <v>0.49</v>
      </c>
      <c r="R62" s="13" t="n">
        <v>11.8</v>
      </c>
      <c r="S62" s="17">
        <f>IF(AND(ISNUMBER(Q62),Q62&gt;0),R62/Q62,"-")</f>
        <v/>
      </c>
      <c r="T62" s="9" t="n">
        <v>50</v>
      </c>
    </row>
    <row r="63">
      <c r="A63" t="inlineStr">
        <is>
          <t>Kilnbrook</t>
        </is>
      </c>
      <c r="B63" t="inlineStr">
        <is>
          <t>Fintech</t>
        </is>
      </c>
      <c r="C63" t="inlineStr">
        <is>
          <t>Fund II</t>
        </is>
      </c>
      <c r="D63" t="inlineStr">
        <is>
          <t>Series B</t>
        </is>
      </c>
      <c r="E63" t="inlineStr">
        <is>
          <t>Active</t>
        </is>
      </c>
      <c r="F63" s="12" t="n">
        <v>44713</v>
      </c>
      <c r="G63" s="12" t="n">
        <v>46368</v>
      </c>
      <c r="H63" s="13" t="n">
        <v>120</v>
      </c>
      <c r="I63" s="13" t="n">
        <v>3.2</v>
      </c>
      <c r="J63" s="14" t="n">
        <v>0.078</v>
      </c>
      <c r="K63" s="13" t="n">
        <v>9.359999999999999</v>
      </c>
      <c r="L63" s="13" t="n">
        <v>0</v>
      </c>
      <c r="M63" s="15">
        <f>(K63+L63)/I63</f>
        <v/>
      </c>
      <c r="N63" s="13" t="n">
        <v>7.5</v>
      </c>
      <c r="O63" s="6" t="n">
        <v>0.5600000000000001</v>
      </c>
      <c r="P63" s="6" t="n">
        <v>0.51</v>
      </c>
      <c r="Q63" s="16" t="n">
        <v>0.36</v>
      </c>
      <c r="R63" s="13" t="n">
        <v>11.1</v>
      </c>
      <c r="S63" s="17">
        <f>IF(AND(ISNUMBER(Q63),Q63&gt;0),R63/Q63,"-")</f>
        <v/>
      </c>
      <c r="T63" s="9" t="n">
        <v>29</v>
      </c>
    </row>
    <row r="64">
      <c r="A64" t="inlineStr">
        <is>
          <t>Loamfield Robotics</t>
        </is>
      </c>
      <c r="B64" t="inlineStr">
        <is>
          <t>Data &amp; Analytics</t>
        </is>
      </c>
      <c r="C64" t="inlineStr">
        <is>
          <t>Fund III</t>
        </is>
      </c>
      <c r="D64" t="inlineStr">
        <is>
          <t>Seed</t>
        </is>
      </c>
      <c r="E64" t="inlineStr">
        <is>
          <t>Active</t>
        </is>
      </c>
      <c r="F64" s="12" t="n">
        <v>46113</v>
      </c>
      <c r="G64" s="12" t="n">
        <v>46113</v>
      </c>
      <c r="H64" s="13" t="n">
        <v>15.3</v>
      </c>
      <c r="I64" s="13" t="n">
        <v>1.5</v>
      </c>
      <c r="J64" s="14" t="n">
        <v>0.07199999999999999</v>
      </c>
      <c r="K64" s="13" t="n">
        <v>1.1</v>
      </c>
      <c r="L64" s="13" t="n">
        <v>0</v>
      </c>
      <c r="M64" s="15">
        <f>(K64+L64)/I64</f>
        <v/>
      </c>
      <c r="N64" s="13" t="n">
        <v>1.4</v>
      </c>
      <c r="O64" s="6" t="n">
        <v>0.68</v>
      </c>
      <c r="P64" s="6" t="n">
        <v>0.65</v>
      </c>
      <c r="Q64" s="16" t="n">
        <v>0.21</v>
      </c>
      <c r="R64" s="13" t="n">
        <v>5</v>
      </c>
      <c r="S64" s="17">
        <f>IF(AND(ISNUMBER(Q64),Q64&gt;0),R64/Q64,"-")</f>
        <v/>
      </c>
      <c r="T64" s="9" t="n">
        <v>16</v>
      </c>
    </row>
    <row r="65">
      <c r="A65" t="inlineStr">
        <is>
          <t>Mirthstone</t>
        </is>
      </c>
      <c r="B65" t="inlineStr">
        <is>
          <t>Climate &amp; Energy</t>
        </is>
      </c>
      <c r="C65" t="inlineStr">
        <is>
          <t>Fund I</t>
        </is>
      </c>
      <c r="D65" t="inlineStr">
        <is>
          <t>Series B</t>
        </is>
      </c>
      <c r="E65" t="inlineStr">
        <is>
          <t>Active</t>
        </is>
      </c>
      <c r="F65" s="12" t="n">
        <v>44160</v>
      </c>
      <c r="G65" s="12" t="n">
        <v>45240</v>
      </c>
      <c r="H65" s="13" t="n">
        <v>122.5</v>
      </c>
      <c r="I65" s="13" t="n">
        <v>4.245</v>
      </c>
      <c r="J65" s="14" t="n">
        <v>0.056</v>
      </c>
      <c r="K65" s="13" t="n">
        <v>6.86</v>
      </c>
      <c r="L65" s="13" t="n">
        <v>0</v>
      </c>
      <c r="M65" s="15">
        <f>(K65+L65)/I65</f>
        <v/>
      </c>
      <c r="N65" s="13" t="n">
        <v>26</v>
      </c>
      <c r="O65" s="6" t="n">
        <v>-0.05</v>
      </c>
      <c r="P65" s="6" t="n">
        <v>0.44</v>
      </c>
      <c r="Q65" s="16" t="n">
        <v>0.97</v>
      </c>
      <c r="R65" s="13" t="n">
        <v>28.2</v>
      </c>
      <c r="S65" s="17">
        <f>IF(AND(ISNUMBER(Q65),Q65&gt;0),R65/Q65,"-")</f>
        <v/>
      </c>
      <c r="T65" s="9" t="n">
        <v>130</v>
      </c>
    </row>
    <row r="66">
      <c r="A66" t="inlineStr">
        <is>
          <t>Nettlebay</t>
        </is>
      </c>
      <c r="B66" t="inlineStr">
        <is>
          <t>Robotics</t>
        </is>
      </c>
      <c r="C66" t="inlineStr">
        <is>
          <t>Fund II</t>
        </is>
      </c>
      <c r="D66" t="inlineStr">
        <is>
          <t>Series C</t>
        </is>
      </c>
      <c r="E66" t="inlineStr">
        <is>
          <t>Active</t>
        </is>
      </c>
      <c r="F66" s="12" t="n">
        <v>44583</v>
      </c>
      <c r="G66" s="12" t="n">
        <v>44801</v>
      </c>
      <c r="H66" s="13" t="n">
        <v>820.2</v>
      </c>
      <c r="I66" s="13" t="n">
        <v>15</v>
      </c>
      <c r="J66" s="14" t="n">
        <v>0.026</v>
      </c>
      <c r="K66" s="13" t="n">
        <v>21.3</v>
      </c>
      <c r="L66" s="13" t="n">
        <v>0</v>
      </c>
      <c r="M66" s="15">
        <f>(K66+L66)/I66</f>
        <v/>
      </c>
      <c r="N66" s="13" t="n">
        <v>65.7</v>
      </c>
      <c r="O66" s="6" t="n">
        <v>0.53</v>
      </c>
      <c r="P66" s="6" t="n">
        <v>0.26</v>
      </c>
      <c r="Q66" s="16" t="n">
        <v>1.13</v>
      </c>
      <c r="R66" s="13" t="n">
        <v>20.7</v>
      </c>
      <c r="S66" s="17">
        <f>IF(AND(ISNUMBER(Q66),Q66&gt;0),R66/Q66,"-")</f>
        <v/>
      </c>
      <c r="T66" s="9" t="n">
        <v>587</v>
      </c>
    </row>
    <row r="67">
      <c r="A67" t="inlineStr">
        <is>
          <t>Orchardline</t>
        </is>
      </c>
      <c r="B67" t="inlineStr">
        <is>
          <t>Data &amp; Analytics</t>
        </is>
      </c>
      <c r="C67" t="inlineStr">
        <is>
          <t>Fund I</t>
        </is>
      </c>
      <c r="D67" t="inlineStr">
        <is>
          <t>Series B</t>
        </is>
      </c>
      <c r="E67" t="inlineStr">
        <is>
          <t>Active</t>
        </is>
      </c>
      <c r="F67" s="12" t="n">
        <v>43569</v>
      </c>
      <c r="G67" s="12" t="n">
        <v>45857</v>
      </c>
      <c r="H67" s="13" t="n">
        <v>119.9</v>
      </c>
      <c r="I67" s="13" t="n">
        <v>4</v>
      </c>
      <c r="J67" s="14" t="n">
        <v>0.061</v>
      </c>
      <c r="K67" s="13" t="n">
        <v>7.3</v>
      </c>
      <c r="L67" s="13" t="n">
        <v>0</v>
      </c>
      <c r="M67" s="15">
        <f>(K67+L67)/I67</f>
        <v/>
      </c>
      <c r="N67" s="13" t="n">
        <v>22.1</v>
      </c>
      <c r="O67" s="6" t="n">
        <v>0.59</v>
      </c>
      <c r="P67" s="6" t="n">
        <v>0.63</v>
      </c>
      <c r="Q67" s="16" t="n">
        <v>1</v>
      </c>
      <c r="R67" s="13" t="n">
        <v>3.5</v>
      </c>
      <c r="S67" s="17">
        <f>IF(AND(ISNUMBER(Q67),Q67&gt;0),R67/Q67,"-")</f>
        <v/>
      </c>
      <c r="T67" s="9" t="n">
        <v>94</v>
      </c>
    </row>
    <row r="68">
      <c r="A68" t="inlineStr">
        <is>
          <t>Palefire Labs</t>
        </is>
      </c>
      <c r="B68" t="inlineStr">
        <is>
          <t>Consumer</t>
        </is>
      </c>
      <c r="C68" t="inlineStr">
        <is>
          <t>Fund III</t>
        </is>
      </c>
      <c r="D68" t="inlineStr">
        <is>
          <t>Series A</t>
        </is>
      </c>
      <c r="E68" t="inlineStr">
        <is>
          <t>Active</t>
        </is>
      </c>
      <c r="F68" s="12" t="n">
        <v>45975</v>
      </c>
      <c r="G68" s="12" t="n">
        <v>46182</v>
      </c>
      <c r="H68" s="13" t="n">
        <v>54.3</v>
      </c>
      <c r="I68" s="13" t="n">
        <v>6</v>
      </c>
      <c r="J68" s="14" t="n">
        <v>0.12</v>
      </c>
      <c r="K68" s="13" t="n">
        <v>6.5</v>
      </c>
      <c r="L68" s="13" t="n">
        <v>0</v>
      </c>
      <c r="M68" s="15">
        <f>(K68+L68)/I68</f>
        <v/>
      </c>
      <c r="N68" s="13" t="n">
        <v>7.2</v>
      </c>
      <c r="O68" s="6" t="n">
        <v>1.87</v>
      </c>
      <c r="P68" s="6" t="n">
        <v>0.43</v>
      </c>
      <c r="Q68" s="16" t="n">
        <v>0.73</v>
      </c>
      <c r="R68" s="13" t="n">
        <v>12.8</v>
      </c>
      <c r="S68" s="17">
        <f>IF(AND(ISNUMBER(Q68),Q68&gt;0),R68/Q68,"-")</f>
        <v/>
      </c>
      <c r="T68" s="9" t="n">
        <v>42</v>
      </c>
    </row>
    <row r="69">
      <c r="A69" t="inlineStr">
        <is>
          <t>Quillshade</t>
        </is>
      </c>
      <c r="B69" t="inlineStr">
        <is>
          <t>Climate &amp; Energy</t>
        </is>
      </c>
      <c r="C69" t="inlineStr">
        <is>
          <t>Fund III</t>
        </is>
      </c>
      <c r="D69" t="inlineStr">
        <is>
          <t>Series A</t>
        </is>
      </c>
      <c r="E69" t="inlineStr">
        <is>
          <t>Active</t>
        </is>
      </c>
      <c r="F69" s="12" t="n">
        <v>45340</v>
      </c>
      <c r="G69" s="12" t="n">
        <v>46184</v>
      </c>
      <c r="H69" s="13" t="n">
        <v>66.09999999999999</v>
      </c>
      <c r="I69" s="13" t="n">
        <v>6</v>
      </c>
      <c r="J69" s="14" t="n">
        <v>0.135</v>
      </c>
      <c r="K69" s="13" t="n">
        <v>8.9</v>
      </c>
      <c r="L69" s="13" t="n">
        <v>0</v>
      </c>
      <c r="M69" s="15">
        <f>(K69+L69)/I69</f>
        <v/>
      </c>
      <c r="N69" s="13" t="n">
        <v>6</v>
      </c>
      <c r="O69" s="6" t="n">
        <v>1.16</v>
      </c>
      <c r="P69" s="6" t="n">
        <v>0.24</v>
      </c>
      <c r="Q69" s="16" t="n">
        <v>0.88</v>
      </c>
      <c r="R69" s="13" t="n">
        <v>24.1</v>
      </c>
      <c r="S69" s="17">
        <f>IF(AND(ISNUMBER(Q69),Q69&gt;0),R69/Q69,"-")</f>
        <v/>
      </c>
      <c r="T69" s="9" t="n">
        <v>41</v>
      </c>
    </row>
    <row r="70">
      <c r="A70" t="inlineStr">
        <is>
          <t>Rushlight AI</t>
        </is>
      </c>
      <c r="B70" t="inlineStr">
        <is>
          <t>Developer Tools</t>
        </is>
      </c>
      <c r="C70" t="inlineStr">
        <is>
          <t>Fund II</t>
        </is>
      </c>
      <c r="D70" t="inlineStr">
        <is>
          <t>Series B</t>
        </is>
      </c>
      <c r="E70" t="inlineStr">
        <is>
          <t>Active</t>
        </is>
      </c>
      <c r="F70" s="12" t="n">
        <v>44551</v>
      </c>
      <c r="G70" s="12" t="n">
        <v>44938</v>
      </c>
      <c r="H70" s="13" t="n">
        <v>298.3</v>
      </c>
      <c r="I70" s="13" t="n">
        <v>10</v>
      </c>
      <c r="J70" s="14" t="n">
        <v>0.041</v>
      </c>
      <c r="K70" s="13" t="n">
        <v>12.2</v>
      </c>
      <c r="L70" s="13" t="n">
        <v>0</v>
      </c>
      <c r="M70" s="15">
        <f>(K70+L70)/I70</f>
        <v/>
      </c>
      <c r="N70" s="13" t="n">
        <v>16</v>
      </c>
      <c r="O70" s="6" t="n">
        <v>1.15</v>
      </c>
      <c r="P70" s="6" t="n">
        <v>0.6899999999999999</v>
      </c>
      <c r="Q70" s="16" t="n">
        <v>1.88</v>
      </c>
      <c r="R70" s="13" t="n">
        <v>47.8</v>
      </c>
      <c r="S70" s="17">
        <f>IF(AND(ISNUMBER(Q70),Q70&gt;0),R70/Q70,"-")</f>
        <v/>
      </c>
      <c r="T70" s="9" t="n">
        <v>199</v>
      </c>
    </row>
    <row r="71">
      <c r="A71" t="inlineStr">
        <is>
          <t>Stonegather</t>
        </is>
      </c>
      <c r="B71" t="inlineStr">
        <is>
          <t>Data &amp; Analytics</t>
        </is>
      </c>
      <c r="C71" t="inlineStr">
        <is>
          <t>Fund III</t>
        </is>
      </c>
      <c r="D71" t="inlineStr">
        <is>
          <t>Seed</t>
        </is>
      </c>
      <c r="E71" t="inlineStr">
        <is>
          <t>Active</t>
        </is>
      </c>
      <c r="F71" s="12" t="n">
        <v>45267</v>
      </c>
      <c r="G71" s="12" t="n">
        <v>45267</v>
      </c>
      <c r="H71" s="13" t="n">
        <v>18.1</v>
      </c>
      <c r="I71" s="13" t="n">
        <v>1.4</v>
      </c>
      <c r="J71" s="14" t="n">
        <v>0.094</v>
      </c>
      <c r="K71" s="13" t="n">
        <v>1.7</v>
      </c>
      <c r="L71" s="13" t="n">
        <v>0</v>
      </c>
      <c r="M71" s="15">
        <f>(K71+L71)/I71</f>
        <v/>
      </c>
      <c r="N71" s="13" t="n">
        <v>1</v>
      </c>
      <c r="O71" s="6" t="n">
        <v>2.99</v>
      </c>
      <c r="P71" s="6" t="n">
        <v>0.65</v>
      </c>
      <c r="Q71" s="16" t="n">
        <v>0.3</v>
      </c>
      <c r="R71" s="13" t="n">
        <v>0</v>
      </c>
      <c r="S71" s="17">
        <f>IF(AND(ISNUMBER(Q71),Q71&gt;0),R71/Q71,"-")</f>
        <v/>
      </c>
      <c r="T71" s="9" t="n">
        <v>18</v>
      </c>
    </row>
    <row r="72">
      <c r="A72" t="inlineStr">
        <is>
          <t>Tidewell Health</t>
        </is>
      </c>
      <c r="B72" t="inlineStr">
        <is>
          <t>Healthcare</t>
        </is>
      </c>
      <c r="C72" t="inlineStr">
        <is>
          <t>Fund III</t>
        </is>
      </c>
      <c r="D72" t="inlineStr">
        <is>
          <t>Seed</t>
        </is>
      </c>
      <c r="E72" t="inlineStr">
        <is>
          <t>Active</t>
        </is>
      </c>
      <c r="F72" s="12" t="n">
        <v>45986</v>
      </c>
      <c r="G72" s="12" t="n">
        <v>46187</v>
      </c>
      <c r="H72" s="13" t="n">
        <v>13.9</v>
      </c>
      <c r="I72" s="13" t="n">
        <v>1.4</v>
      </c>
      <c r="J72" s="14" t="n">
        <v>0.08699999999999999</v>
      </c>
      <c r="K72" s="13" t="n">
        <v>1.2</v>
      </c>
      <c r="L72" s="13" t="n">
        <v>0</v>
      </c>
      <c r="M72" s="15">
        <f>(K72+L72)/I72</f>
        <v/>
      </c>
      <c r="N72" s="13" t="n">
        <v>1.4</v>
      </c>
      <c r="O72" s="6" t="n">
        <v>1.43</v>
      </c>
      <c r="P72" s="6" t="n">
        <v>0.6899999999999999</v>
      </c>
      <c r="Q72" s="16" t="n">
        <v>0.19</v>
      </c>
      <c r="R72" s="13" t="n">
        <v>3.8</v>
      </c>
      <c r="S72" s="17">
        <f>IF(AND(ISNUMBER(Q72),Q72&gt;0),R72/Q72,"-")</f>
        <v/>
      </c>
      <c r="T72" s="9" t="n">
        <v>24</v>
      </c>
    </row>
    <row r="73">
      <c r="A73" t="inlineStr">
        <is>
          <t>Umbrelight</t>
        </is>
      </c>
      <c r="B73" t="inlineStr">
        <is>
          <t>AI/ML</t>
        </is>
      </c>
      <c r="C73" t="inlineStr">
        <is>
          <t>Fund III</t>
        </is>
      </c>
      <c r="D73" t="inlineStr">
        <is>
          <t>Seed</t>
        </is>
      </c>
      <c r="E73" t="inlineStr">
        <is>
          <t>Active</t>
        </is>
      </c>
      <c r="F73" s="12" t="n">
        <v>45418</v>
      </c>
      <c r="G73" s="12" t="n">
        <v>45418</v>
      </c>
      <c r="H73" s="13" t="n">
        <v>17.9</v>
      </c>
      <c r="I73" s="13" t="n">
        <v>1.3</v>
      </c>
      <c r="J73" s="14" t="n">
        <v>0.083</v>
      </c>
      <c r="K73" s="13" t="n">
        <v>1.5</v>
      </c>
      <c r="L73" s="13" t="n">
        <v>0</v>
      </c>
      <c r="M73" s="15">
        <f>(K73+L73)/I73</f>
        <v/>
      </c>
      <c r="N73" s="13" t="n">
        <v>0.2</v>
      </c>
      <c r="O73" s="6" t="n">
        <v>0.65</v>
      </c>
      <c r="P73" s="6" t="n">
        <v>0.72</v>
      </c>
      <c r="Q73" s="16" t="n">
        <v>0.23</v>
      </c>
      <c r="R73" s="13" t="n">
        <v>6.2</v>
      </c>
      <c r="S73" s="17">
        <f>IF(AND(ISNUMBER(Q73),Q73&gt;0),R73/Q73,"-")</f>
        <v/>
      </c>
      <c r="T73" s="9" t="n">
        <v>20</v>
      </c>
    </row>
    <row r="74">
      <c r="A74" t="inlineStr">
        <is>
          <t>Vinecroft</t>
        </is>
      </c>
      <c r="B74" t="inlineStr">
        <is>
          <t>AI/ML</t>
        </is>
      </c>
      <c r="C74" t="inlineStr">
        <is>
          <t>Fund I</t>
        </is>
      </c>
      <c r="D74" t="inlineStr">
        <is>
          <t>Series D+</t>
        </is>
      </c>
      <c r="E74" t="inlineStr">
        <is>
          <t>Active</t>
        </is>
      </c>
      <c r="F74" s="12" t="n">
        <v>43844</v>
      </c>
      <c r="G74" s="12" t="n">
        <v>45777</v>
      </c>
      <c r="H74" s="13" t="n">
        <v>1390.7</v>
      </c>
      <c r="I74" s="13" t="n">
        <v>13.5</v>
      </c>
      <c r="J74" s="14" t="n">
        <v>0.016</v>
      </c>
      <c r="K74" s="13" t="n">
        <v>22.3</v>
      </c>
      <c r="L74" s="13" t="n">
        <v>0</v>
      </c>
      <c r="M74" s="15">
        <f>(K74+L74)/I74</f>
        <v/>
      </c>
      <c r="N74" s="13" t="n">
        <v>127.7</v>
      </c>
      <c r="O74" s="6" t="n">
        <v>0.45</v>
      </c>
      <c r="P74" s="6" t="n">
        <v>0.64</v>
      </c>
      <c r="Q74" s="16" t="n">
        <v>1.45</v>
      </c>
      <c r="R74" s="13" t="n">
        <v>37.8</v>
      </c>
      <c r="S74" s="17">
        <f>IF(AND(ISNUMBER(Q74),Q74&gt;0),R74/Q74,"-")</f>
        <v/>
      </c>
      <c r="T74" s="9" t="n">
        <v>1517</v>
      </c>
    </row>
    <row r="75">
      <c r="A75" t="inlineStr">
        <is>
          <t>Willowmere Compute</t>
        </is>
      </c>
      <c r="B75" t="inlineStr">
        <is>
          <t>Cybersecurity</t>
        </is>
      </c>
      <c r="C75" t="inlineStr">
        <is>
          <t>Fund III</t>
        </is>
      </c>
      <c r="D75" t="inlineStr">
        <is>
          <t>Series A</t>
        </is>
      </c>
      <c r="E75" t="inlineStr">
        <is>
          <t>Active</t>
        </is>
      </c>
      <c r="F75" s="12" t="n">
        <v>45387</v>
      </c>
      <c r="G75" s="12" t="n">
        <v>45744</v>
      </c>
      <c r="H75" s="13" t="n">
        <v>38.7</v>
      </c>
      <c r="I75" s="13" t="n">
        <v>6</v>
      </c>
      <c r="J75" s="14" t="n">
        <v>0.121</v>
      </c>
      <c r="K75" s="13" t="n">
        <v>4.7</v>
      </c>
      <c r="L75" s="13" t="n">
        <v>0</v>
      </c>
      <c r="M75" s="15">
        <f>(K75+L75)/I75</f>
        <v/>
      </c>
      <c r="N75" s="13" t="n">
        <v>5.5</v>
      </c>
      <c r="O75" s="6" t="n">
        <v>0.45</v>
      </c>
      <c r="P75" s="6" t="n">
        <v>0.72</v>
      </c>
      <c r="Q75" s="16" t="n">
        <v>0.63</v>
      </c>
      <c r="R75" s="13" t="n">
        <v>11</v>
      </c>
      <c r="S75" s="17">
        <f>IF(AND(ISNUMBER(Q75),Q75&gt;0),R75/Q75,"-")</f>
        <v/>
      </c>
      <c r="T75" s="9" t="n">
        <v>25</v>
      </c>
    </row>
    <row r="76">
      <c r="A76" t="inlineStr">
        <is>
          <t>Xylotta</t>
        </is>
      </c>
      <c r="B76" t="inlineStr">
        <is>
          <t>Cybersecurity</t>
        </is>
      </c>
      <c r="C76" t="inlineStr">
        <is>
          <t>Fund I</t>
        </is>
      </c>
      <c r="D76" t="inlineStr">
        <is>
          <t>Series D+</t>
        </is>
      </c>
      <c r="E76" t="inlineStr">
        <is>
          <t>Active</t>
        </is>
      </c>
      <c r="F76" s="12" t="n">
        <v>44090</v>
      </c>
      <c r="G76" s="12" t="n">
        <v>44956</v>
      </c>
      <c r="H76" s="13" t="n">
        <v>2282.4</v>
      </c>
      <c r="I76" s="13" t="n">
        <v>20</v>
      </c>
      <c r="J76" s="14" t="n">
        <v>0.025</v>
      </c>
      <c r="K76" s="13" t="n">
        <v>57.1</v>
      </c>
      <c r="L76" s="13" t="n">
        <v>0</v>
      </c>
      <c r="M76" s="15">
        <f>(K76+L76)/I76</f>
        <v/>
      </c>
      <c r="N76" s="13" t="n">
        <v>204.3</v>
      </c>
      <c r="O76" s="6" t="n">
        <v>0.18</v>
      </c>
      <c r="P76" s="6" t="n">
        <v>0.8100000000000001</v>
      </c>
      <c r="Q76" s="16" t="n">
        <v>0.91</v>
      </c>
      <c r="R76" s="13" t="n">
        <v>16</v>
      </c>
      <c r="S76" s="17">
        <f>IF(AND(ISNUMBER(Q76),Q76&gt;0),R76/Q76,"-")</f>
        <v/>
      </c>
      <c r="T76" s="9" t="n">
        <v>1508</v>
      </c>
    </row>
    <row r="77">
      <c r="A77" t="inlineStr">
        <is>
          <t>Yewbranch Security</t>
        </is>
      </c>
      <c r="B77" t="inlineStr">
        <is>
          <t>Robotics</t>
        </is>
      </c>
      <c r="C77" t="inlineStr">
        <is>
          <t>Fund III</t>
        </is>
      </c>
      <c r="D77" t="inlineStr">
        <is>
          <t>Seed</t>
        </is>
      </c>
      <c r="E77" t="inlineStr">
        <is>
          <t>Active</t>
        </is>
      </c>
      <c r="F77" s="12" t="n">
        <v>45401</v>
      </c>
      <c r="G77" s="12" t="n">
        <v>45961</v>
      </c>
      <c r="H77" s="13" t="n">
        <v>21.3</v>
      </c>
      <c r="I77" s="13" t="n">
        <v>2.5</v>
      </c>
      <c r="J77" s="14" t="n">
        <v>0.119</v>
      </c>
      <c r="K77" s="13" t="n">
        <v>2.5</v>
      </c>
      <c r="L77" s="13" t="n">
        <v>0</v>
      </c>
      <c r="M77" s="15">
        <f>(K77+L77)/I77</f>
        <v/>
      </c>
      <c r="N77" s="13" t="n">
        <v>0.1</v>
      </c>
      <c r="O77" s="6" t="n"/>
      <c r="P77" s="6" t="n">
        <v>0.38</v>
      </c>
      <c r="Q77" s="16" t="n">
        <v>0.27</v>
      </c>
      <c r="R77" s="13" t="n">
        <v>5.2</v>
      </c>
      <c r="S77" s="17">
        <f>IF(AND(ISNUMBER(Q77),Q77&gt;0),R77/Q77,"-")</f>
        <v/>
      </c>
      <c r="T77" s="9" t="n">
        <v>10</v>
      </c>
    </row>
    <row r="78">
      <c r="A78" t="inlineStr">
        <is>
          <t>Zealwick</t>
        </is>
      </c>
      <c r="B78" t="inlineStr">
        <is>
          <t>Robotics</t>
        </is>
      </c>
      <c r="C78" t="inlineStr">
        <is>
          <t>Fund II</t>
        </is>
      </c>
      <c r="D78" t="inlineStr">
        <is>
          <t>Series B</t>
        </is>
      </c>
      <c r="E78" t="inlineStr">
        <is>
          <t>Active</t>
        </is>
      </c>
      <c r="F78" s="12" t="n">
        <v>44861</v>
      </c>
      <c r="G78" s="12" t="n">
        <v>45435</v>
      </c>
      <c r="H78" s="13" t="n">
        <v>91</v>
      </c>
      <c r="I78" s="13" t="n">
        <v>4</v>
      </c>
      <c r="J78" s="14" t="n">
        <v>0.037</v>
      </c>
      <c r="K78" s="13" t="n">
        <v>3.4</v>
      </c>
      <c r="L78" s="13" t="n">
        <v>0</v>
      </c>
      <c r="M78" s="15">
        <f>(K78+L78)/I78</f>
        <v/>
      </c>
      <c r="N78" s="13" t="n">
        <v>9.800000000000001</v>
      </c>
      <c r="O78" s="6" t="n">
        <v>0.52</v>
      </c>
      <c r="P78" s="6" t="n">
        <v>0.31</v>
      </c>
      <c r="Q78" s="16" t="n">
        <v>0.5</v>
      </c>
      <c r="R78" s="13" t="n">
        <v>3.5</v>
      </c>
      <c r="S78" s="17">
        <f>IF(AND(ISNUMBER(Q78),Q78&gt;0),R78/Q78,"-")</f>
        <v/>
      </c>
      <c r="T78" s="9" t="n">
        <v>95</v>
      </c>
    </row>
    <row r="79">
      <c r="A79" t="inlineStr">
        <is>
          <t>Alderpoint</t>
        </is>
      </c>
      <c r="B79" t="inlineStr">
        <is>
          <t>AI/ML</t>
        </is>
      </c>
      <c r="C79" t="inlineStr">
        <is>
          <t>Fund II</t>
        </is>
      </c>
      <c r="D79" t="inlineStr">
        <is>
          <t>Seed</t>
        </is>
      </c>
      <c r="E79" t="inlineStr">
        <is>
          <t>Active</t>
        </is>
      </c>
      <c r="F79" s="12" t="n">
        <v>45139</v>
      </c>
      <c r="G79" s="12" t="n">
        <v>45139</v>
      </c>
      <c r="H79" s="13" t="n">
        <v>12.5</v>
      </c>
      <c r="I79" s="13" t="n">
        <v>1</v>
      </c>
      <c r="J79" s="14" t="n">
        <v>0.103</v>
      </c>
      <c r="K79" s="13" t="n">
        <v>1.3</v>
      </c>
      <c r="L79" s="13" t="n">
        <v>0</v>
      </c>
      <c r="M79" s="15">
        <f>(K79+L79)/I79</f>
        <v/>
      </c>
      <c r="N79" s="13" t="n">
        <v>0.4</v>
      </c>
      <c r="O79" s="6" t="n">
        <v>2.9</v>
      </c>
      <c r="P79" s="6" t="n">
        <v>0.76</v>
      </c>
      <c r="Q79" s="16" t="n">
        <v>0.25</v>
      </c>
      <c r="R79" s="13" t="n">
        <v>3.5</v>
      </c>
      <c r="S79" s="17">
        <f>IF(AND(ISNUMBER(Q79),Q79&gt;0),R79/Q79,"-")</f>
        <v/>
      </c>
      <c r="T79" s="9" t="n">
        <v>22</v>
      </c>
    </row>
    <row r="80">
      <c r="A80" t="inlineStr">
        <is>
          <t>Brackenvale</t>
        </is>
      </c>
      <c r="B80" t="inlineStr">
        <is>
          <t>Healthcare</t>
        </is>
      </c>
      <c r="C80" t="inlineStr">
        <is>
          <t>Fund I</t>
        </is>
      </c>
      <c r="D80" t="inlineStr">
        <is>
          <t>Series C</t>
        </is>
      </c>
      <c r="E80" t="inlineStr">
        <is>
          <t>Active</t>
        </is>
      </c>
      <c r="F80" s="12" t="n">
        <v>43796</v>
      </c>
      <c r="G80" s="12" t="n">
        <v>44925</v>
      </c>
      <c r="H80" s="13" t="n">
        <v>415.9</v>
      </c>
      <c r="I80" s="13" t="n">
        <v>6</v>
      </c>
      <c r="J80" s="14" t="n">
        <v>0.021</v>
      </c>
      <c r="K80" s="13" t="n">
        <v>8.699999999999999</v>
      </c>
      <c r="L80" s="13" t="n">
        <v>0</v>
      </c>
      <c r="M80" s="15">
        <f>(K80+L80)/I80</f>
        <v/>
      </c>
      <c r="N80" s="13" t="n">
        <v>64.09999999999999</v>
      </c>
      <c r="O80" s="6" t="n">
        <v>0.31</v>
      </c>
      <c r="P80" s="6" t="n">
        <v>0.49</v>
      </c>
      <c r="Q80" s="16" t="n">
        <v>2.97</v>
      </c>
      <c r="R80" s="13" t="n">
        <v>57.5</v>
      </c>
      <c r="S80" s="17">
        <f>IF(AND(ISNUMBER(Q80),Q80&gt;0),R80/Q80,"-")</f>
        <v/>
      </c>
      <c r="T80" s="9" t="n">
        <v>191</v>
      </c>
    </row>
    <row r="81">
      <c r="A81" t="inlineStr">
        <is>
          <t>Coppermoss Energy</t>
        </is>
      </c>
      <c r="B81" t="inlineStr">
        <is>
          <t>Enterprise SaaS</t>
        </is>
      </c>
      <c r="C81" t="inlineStr">
        <is>
          <t>Fund III</t>
        </is>
      </c>
      <c r="D81" t="inlineStr">
        <is>
          <t>Seed</t>
        </is>
      </c>
      <c r="E81" t="inlineStr">
        <is>
          <t>Active</t>
        </is>
      </c>
      <c r="F81" s="12" t="n">
        <v>45725</v>
      </c>
      <c r="G81" s="12" t="n">
        <v>45725</v>
      </c>
      <c r="H81" s="13" t="n">
        <v>25.5</v>
      </c>
      <c r="I81" s="13" t="n">
        <v>2.4</v>
      </c>
      <c r="J81" s="14" t="n">
        <v>0.101</v>
      </c>
      <c r="K81" s="13" t="n">
        <v>2.6</v>
      </c>
      <c r="L81" s="13" t="n">
        <v>0</v>
      </c>
      <c r="M81" s="15">
        <f>(K81+L81)/I81</f>
        <v/>
      </c>
      <c r="N81" s="13" t="n">
        <v>0.9</v>
      </c>
      <c r="O81" s="6" t="n">
        <v>0.75</v>
      </c>
      <c r="P81" s="6" t="n">
        <v>0.7</v>
      </c>
      <c r="Q81" s="16" t="n">
        <v>0.24</v>
      </c>
      <c r="R81" s="13" t="n">
        <v>7.8</v>
      </c>
      <c r="S81" s="17">
        <f>IF(AND(ISNUMBER(Q81),Q81&gt;0),R81/Q81,"-")</f>
        <v/>
      </c>
      <c r="T81" s="9" t="n">
        <v>11</v>
      </c>
    </row>
    <row r="82">
      <c r="A82" t="inlineStr">
        <is>
          <t>Dellforge</t>
        </is>
      </c>
      <c r="B82" t="inlineStr">
        <is>
          <t>Developer Tools</t>
        </is>
      </c>
      <c r="C82" t="inlineStr">
        <is>
          <t>Fund I</t>
        </is>
      </c>
      <c r="D82" t="inlineStr">
        <is>
          <t>Series C</t>
        </is>
      </c>
      <c r="E82" t="inlineStr">
        <is>
          <t>Active</t>
        </is>
      </c>
      <c r="F82" s="12" t="n">
        <v>44159</v>
      </c>
      <c r="G82" s="12" t="n">
        <v>45866</v>
      </c>
      <c r="H82" s="13" t="n">
        <v>677.3</v>
      </c>
      <c r="I82" s="13" t="n">
        <v>14.4</v>
      </c>
      <c r="J82" s="14" t="n">
        <v>0.041</v>
      </c>
      <c r="K82" s="13" t="n">
        <v>27.8</v>
      </c>
      <c r="L82" s="13" t="n">
        <v>0</v>
      </c>
      <c r="M82" s="15">
        <f>(K82+L82)/I82</f>
        <v/>
      </c>
      <c r="N82" s="13" t="n">
        <v>78.8</v>
      </c>
      <c r="O82" s="6" t="n">
        <v>0.29</v>
      </c>
      <c r="P82" s="6" t="n">
        <v>0.7</v>
      </c>
      <c r="Q82" s="16" t="n">
        <v>2.46</v>
      </c>
      <c r="R82" s="13" t="n">
        <v>73.59999999999999</v>
      </c>
      <c r="S82" s="17">
        <f>IF(AND(ISNUMBER(Q82),Q82&gt;0),R82/Q82,"-")</f>
        <v/>
      </c>
      <c r="T82" s="9" t="n">
        <v>582</v>
      </c>
    </row>
    <row r="83">
      <c r="A83" t="inlineStr">
        <is>
          <t>Everbrook Analytics</t>
        </is>
      </c>
      <c r="B83" t="inlineStr">
        <is>
          <t>Enterprise SaaS</t>
        </is>
      </c>
      <c r="C83" t="inlineStr">
        <is>
          <t>Fund II</t>
        </is>
      </c>
      <c r="D83" t="inlineStr">
        <is>
          <t>Series B</t>
        </is>
      </c>
      <c r="E83" t="inlineStr">
        <is>
          <t>Shut Down</t>
        </is>
      </c>
      <c r="F83" s="12" t="n">
        <v>45024</v>
      </c>
      <c r="G83" s="12" t="n">
        <v>45482</v>
      </c>
      <c r="H83" s="13" t="n">
        <v>130.7</v>
      </c>
      <c r="I83" s="13" t="n">
        <v>5.3</v>
      </c>
      <c r="J83" s="14" t="n">
        <v>0.037</v>
      </c>
      <c r="K83" s="13" t="n">
        <v>0</v>
      </c>
      <c r="L83" s="13" t="n">
        <v>0</v>
      </c>
      <c r="M83" s="15">
        <f>(K83+L83)/I83</f>
        <v/>
      </c>
      <c r="N83" s="13" t="n"/>
      <c r="O83" s="6" t="n"/>
      <c r="P83" s="6" t="n"/>
      <c r="Q83" s="16" t="n"/>
      <c r="R83" s="13" t="n"/>
      <c r="S83" s="17">
        <f>IF(AND(ISNUMBER(Q83),Q83&gt;0),R83/Q83,"-")</f>
        <v/>
      </c>
      <c r="T83" s="9" t="n"/>
    </row>
    <row r="84">
      <c r="A84" t="inlineStr">
        <is>
          <t>Fenwright</t>
        </is>
      </c>
      <c r="B84" t="inlineStr">
        <is>
          <t>Enterprise SaaS</t>
        </is>
      </c>
      <c r="C84" t="inlineStr">
        <is>
          <t>Fund I</t>
        </is>
      </c>
      <c r="D84" t="inlineStr">
        <is>
          <t>Series C</t>
        </is>
      </c>
      <c r="E84" t="inlineStr">
        <is>
          <t>Active</t>
        </is>
      </c>
      <c r="F84" s="12" t="n">
        <v>43828</v>
      </c>
      <c r="G84" s="12" t="n">
        <v>45127</v>
      </c>
      <c r="H84" s="13" t="n">
        <v>285.1</v>
      </c>
      <c r="I84" s="13" t="n">
        <v>12.4</v>
      </c>
      <c r="J84" s="14" t="n">
        <v>0.038</v>
      </c>
      <c r="K84" s="13" t="n">
        <v>10.8</v>
      </c>
      <c r="L84" s="13" t="n">
        <v>0</v>
      </c>
      <c r="M84" s="15">
        <f>(K84+L84)/I84</f>
        <v/>
      </c>
      <c r="N84" s="13" t="n">
        <v>68.59999999999999</v>
      </c>
      <c r="O84" s="6" t="n">
        <v>0.53</v>
      </c>
      <c r="P84" s="6" t="n">
        <v>0.82</v>
      </c>
      <c r="Q84" s="16" t="n">
        <v>2.95</v>
      </c>
      <c r="R84" s="13" t="n">
        <v>56</v>
      </c>
      <c r="S84" s="17">
        <f>IF(AND(ISNUMBER(Q84),Q84&gt;0),R84/Q84,"-")</f>
        <v/>
      </c>
      <c r="T84" s="9" t="n">
        <v>514</v>
      </c>
    </row>
    <row r="85">
      <c r="A85" t="inlineStr">
        <is>
          <t>Gablewood</t>
        </is>
      </c>
      <c r="B85" t="inlineStr">
        <is>
          <t>AI/ML</t>
        </is>
      </c>
      <c r="C85" t="inlineStr">
        <is>
          <t>Fund III</t>
        </is>
      </c>
      <c r="D85" t="inlineStr">
        <is>
          <t>Seed</t>
        </is>
      </c>
      <c r="E85" t="inlineStr">
        <is>
          <t>Active</t>
        </is>
      </c>
      <c r="F85" s="12" t="n">
        <v>45481</v>
      </c>
      <c r="G85" s="12" t="n">
        <v>45910</v>
      </c>
      <c r="H85" s="13" t="n">
        <v>10.1</v>
      </c>
      <c r="I85" s="13" t="n">
        <v>1</v>
      </c>
      <c r="J85" s="14" t="n">
        <v>0.063</v>
      </c>
      <c r="K85" s="13" t="n">
        <v>0.6</v>
      </c>
      <c r="L85" s="13" t="n">
        <v>0</v>
      </c>
      <c r="M85" s="15">
        <f>(K85+L85)/I85</f>
        <v/>
      </c>
      <c r="N85" s="13" t="n">
        <v>0.9</v>
      </c>
      <c r="O85" s="6" t="n">
        <v>0.64</v>
      </c>
      <c r="P85" s="6" t="n">
        <v>0.67</v>
      </c>
      <c r="Q85" s="16" t="n">
        <v>0.22</v>
      </c>
      <c r="R85" s="13" t="n">
        <v>4.7</v>
      </c>
      <c r="S85" s="17">
        <f>IF(AND(ISNUMBER(Q85),Q85&gt;0),R85/Q85,"-")</f>
        <v/>
      </c>
      <c r="T85" s="9" t="n">
        <v>15</v>
      </c>
    </row>
    <row r="86">
      <c r="A86" t="inlineStr">
        <is>
          <t>Harrowgate Bio</t>
        </is>
      </c>
      <c r="B86" t="inlineStr">
        <is>
          <t>Infrastructure</t>
        </is>
      </c>
      <c r="C86" t="inlineStr">
        <is>
          <t>Fund III</t>
        </is>
      </c>
      <c r="D86" t="inlineStr">
        <is>
          <t>Series A</t>
        </is>
      </c>
      <c r="E86" t="inlineStr">
        <is>
          <t>Active</t>
        </is>
      </c>
      <c r="F86" s="12" t="n">
        <v>46125</v>
      </c>
      <c r="G86" s="12" t="n">
        <v>46125</v>
      </c>
      <c r="H86" s="13" t="n">
        <v>86.90000000000001</v>
      </c>
      <c r="I86" s="13" t="n">
        <v>5.4</v>
      </c>
      <c r="J86" s="14" t="n">
        <v>0.07000000000000001</v>
      </c>
      <c r="K86" s="13" t="n">
        <v>6.1</v>
      </c>
      <c r="L86" s="13" t="n">
        <v>0</v>
      </c>
      <c r="M86" s="15">
        <f>(K86+L86)/I86</f>
        <v/>
      </c>
      <c r="N86" s="13" t="n">
        <v>3.9</v>
      </c>
      <c r="O86" s="6" t="n">
        <v>1.73</v>
      </c>
      <c r="P86" s="6" t="n">
        <v>0.59</v>
      </c>
      <c r="Q86" s="16" t="n">
        <v>0.72</v>
      </c>
      <c r="R86" s="13" t="n">
        <v>17.9</v>
      </c>
      <c r="S86" s="17">
        <f>IF(AND(ISNUMBER(Q86),Q86&gt;0),R86/Q86,"-")</f>
        <v/>
      </c>
      <c r="T86" s="9" t="n">
        <v>67</v>
      </c>
    </row>
    <row r="87">
      <c r="A87" t="inlineStr">
        <is>
          <t>Islewind</t>
        </is>
      </c>
      <c r="B87" t="inlineStr">
        <is>
          <t>Infrastructure</t>
        </is>
      </c>
      <c r="C87" t="inlineStr">
        <is>
          <t>Fund II</t>
        </is>
      </c>
      <c r="D87" t="inlineStr">
        <is>
          <t>Series B</t>
        </is>
      </c>
      <c r="E87" t="inlineStr">
        <is>
          <t>Shut Down</t>
        </is>
      </c>
      <c r="F87" s="12" t="n">
        <v>44474</v>
      </c>
      <c r="G87" s="12" t="n">
        <v>44995</v>
      </c>
      <c r="H87" s="13" t="n">
        <v>278.1</v>
      </c>
      <c r="I87" s="13" t="n">
        <v>10</v>
      </c>
      <c r="J87" s="14" t="n">
        <v>0.036</v>
      </c>
      <c r="K87" s="13" t="n">
        <v>0</v>
      </c>
      <c r="L87" s="13" t="n">
        <v>0</v>
      </c>
      <c r="M87" s="15">
        <f>(K87+L87)/I87</f>
        <v/>
      </c>
      <c r="N87" s="13" t="n"/>
      <c r="O87" s="6" t="n"/>
      <c r="P87" s="6" t="n"/>
      <c r="Q87" s="16" t="n"/>
      <c r="R87" s="13" t="n"/>
      <c r="S87" s="17">
        <f>IF(AND(ISNUMBER(Q87),Q87&gt;0),R87/Q87,"-")</f>
        <v/>
      </c>
      <c r="T87" s="9" t="n"/>
    </row>
    <row r="88">
      <c r="A88" t="inlineStr">
        <is>
          <t>Juttermill</t>
        </is>
      </c>
      <c r="B88" t="inlineStr">
        <is>
          <t>Enterprise SaaS</t>
        </is>
      </c>
      <c r="C88" t="inlineStr">
        <is>
          <t>Fund I</t>
        </is>
      </c>
      <c r="D88" t="inlineStr">
        <is>
          <t>Series A</t>
        </is>
      </c>
      <c r="E88" t="inlineStr">
        <is>
          <t>Active</t>
        </is>
      </c>
      <c r="F88" s="12" t="n">
        <v>43890</v>
      </c>
      <c r="G88" s="12" t="n">
        <v>44455</v>
      </c>
      <c r="H88" s="13" t="n">
        <v>8.199999999999999</v>
      </c>
      <c r="I88" s="13" t="n">
        <v>2</v>
      </c>
      <c r="J88" s="14" t="n">
        <v>0.08</v>
      </c>
      <c r="K88" s="13" t="n">
        <v>0.7</v>
      </c>
      <c r="L88" s="13" t="n">
        <v>0</v>
      </c>
      <c r="M88" s="15">
        <f>(K88+L88)/I88</f>
        <v/>
      </c>
      <c r="N88" s="13" t="n">
        <v>4.8</v>
      </c>
      <c r="O88" s="6" t="n">
        <v>1.01</v>
      </c>
      <c r="P88" s="6" t="n">
        <v>0.75</v>
      </c>
      <c r="Q88" s="16" t="n">
        <v>0.44</v>
      </c>
      <c r="R88" s="13" t="n">
        <v>11.7</v>
      </c>
      <c r="S88" s="17">
        <f>IF(AND(ISNUMBER(Q88),Q88&gt;0),R88/Q88,"-")</f>
        <v/>
      </c>
      <c r="T88" s="9" t="n">
        <v>53</v>
      </c>
    </row>
    <row r="89">
      <c r="A89" t="inlineStr">
        <is>
          <t>Knollward</t>
        </is>
      </c>
      <c r="B89" t="inlineStr">
        <is>
          <t>AI/ML</t>
        </is>
      </c>
      <c r="C89" t="inlineStr">
        <is>
          <t>Fund I</t>
        </is>
      </c>
      <c r="D89" t="inlineStr">
        <is>
          <t>Series C</t>
        </is>
      </c>
      <c r="E89" t="inlineStr">
        <is>
          <t>Active</t>
        </is>
      </c>
      <c r="F89" s="12" t="n">
        <v>44314</v>
      </c>
      <c r="G89" s="12" t="n">
        <v>44806</v>
      </c>
      <c r="H89" s="13" t="n">
        <v>842.1</v>
      </c>
      <c r="I89" s="13" t="n">
        <v>14</v>
      </c>
      <c r="J89" s="14" t="n">
        <v>0.058</v>
      </c>
      <c r="K89" s="13" t="n">
        <v>48.8</v>
      </c>
      <c r="L89" s="13" t="n">
        <v>0</v>
      </c>
      <c r="M89" s="15">
        <f>(K89+L89)/I89</f>
        <v/>
      </c>
      <c r="N89" s="13" t="n">
        <v>54.5</v>
      </c>
      <c r="O89" s="6" t="n">
        <v>0.72</v>
      </c>
      <c r="P89" s="6" t="n">
        <v>0.62</v>
      </c>
      <c r="Q89" s="16" t="n">
        <v>2.73</v>
      </c>
      <c r="R89" s="13" t="n">
        <v>50</v>
      </c>
      <c r="S89" s="17">
        <f>IF(AND(ISNUMBER(Q89),Q89&gt;0),R89/Q89,"-")</f>
        <v/>
      </c>
      <c r="T89" s="9" t="n">
        <v>495</v>
      </c>
    </row>
    <row r="90">
      <c r="A90" t="inlineStr">
        <is>
          <t>Lanternfell Space</t>
        </is>
      </c>
      <c r="B90" t="inlineStr">
        <is>
          <t>Enterprise SaaS</t>
        </is>
      </c>
      <c r="C90" t="inlineStr">
        <is>
          <t>Fund II</t>
        </is>
      </c>
      <c r="D90" t="inlineStr">
        <is>
          <t>Series C</t>
        </is>
      </c>
      <c r="E90" t="inlineStr">
        <is>
          <t>Active</t>
        </is>
      </c>
      <c r="F90" s="12" t="n">
        <v>44969</v>
      </c>
      <c r="G90" s="12" t="n">
        <v>45826</v>
      </c>
      <c r="H90" s="13" t="n">
        <v>653.6</v>
      </c>
      <c r="I90" s="13" t="n">
        <v>15</v>
      </c>
      <c r="J90" s="14" t="n">
        <v>0.057</v>
      </c>
      <c r="K90" s="13" t="n">
        <v>37.3</v>
      </c>
      <c r="L90" s="13" t="n">
        <v>0</v>
      </c>
      <c r="M90" s="15">
        <f>(K90+L90)/I90</f>
        <v/>
      </c>
      <c r="N90" s="13" t="n">
        <v>74</v>
      </c>
      <c r="O90" s="6" t="n">
        <v>0.55</v>
      </c>
      <c r="P90" s="6" t="n">
        <v>0.73</v>
      </c>
      <c r="Q90" s="16" t="n">
        <v>1.64</v>
      </c>
      <c r="R90" s="13" t="n">
        <v>22.2</v>
      </c>
      <c r="S90" s="17">
        <f>IF(AND(ISNUMBER(Q90),Q90&gt;0),R90/Q90,"-")</f>
        <v/>
      </c>
      <c r="T90" s="9" t="n">
        <v>320</v>
      </c>
    </row>
    <row r="91">
      <c r="A91" t="inlineStr">
        <is>
          <t>Mardellan</t>
        </is>
      </c>
      <c r="B91" t="inlineStr">
        <is>
          <t>Robotics</t>
        </is>
      </c>
      <c r="C91" t="inlineStr">
        <is>
          <t>Fund I</t>
        </is>
      </c>
      <c r="D91" t="inlineStr">
        <is>
          <t>Series D+</t>
        </is>
      </c>
      <c r="E91" t="inlineStr">
        <is>
          <t>Active</t>
        </is>
      </c>
      <c r="F91" s="12" t="n">
        <v>43980</v>
      </c>
      <c r="G91" s="12" t="n">
        <v>44702</v>
      </c>
      <c r="H91" s="13" t="n">
        <v>5699.4</v>
      </c>
      <c r="I91" s="13" t="n">
        <v>10.9</v>
      </c>
      <c r="J91" s="14" t="n">
        <v>0.012</v>
      </c>
      <c r="K91" s="13" t="n">
        <v>68.40000000000001</v>
      </c>
      <c r="L91" s="13" t="n">
        <v>0</v>
      </c>
      <c r="M91" s="15">
        <f>(K91+L91)/I91</f>
        <v/>
      </c>
      <c r="N91" s="13" t="n">
        <v>252.8</v>
      </c>
      <c r="O91" s="6" t="n">
        <v>0.54</v>
      </c>
      <c r="P91" s="6" t="n">
        <v>0.45</v>
      </c>
      <c r="Q91" s="16" t="n">
        <v>3.63</v>
      </c>
      <c r="R91" s="13" t="n">
        <v>57.8</v>
      </c>
      <c r="S91" s="17">
        <f>IF(AND(ISNUMBER(Q91),Q91&gt;0),R91/Q91,"-")</f>
        <v/>
      </c>
      <c r="T91" s="9" t="n">
        <v>718</v>
      </c>
    </row>
    <row r="92">
      <c r="A92" t="inlineStr">
        <is>
          <t>Northquill</t>
        </is>
      </c>
      <c r="B92" t="inlineStr">
        <is>
          <t>Cybersecurity</t>
        </is>
      </c>
      <c r="C92" t="inlineStr">
        <is>
          <t>Fund I</t>
        </is>
      </c>
      <c r="D92" t="inlineStr">
        <is>
          <t>Series B</t>
        </is>
      </c>
      <c r="E92" t="inlineStr">
        <is>
          <t>Active</t>
        </is>
      </c>
      <c r="F92" s="12" t="n">
        <v>44352</v>
      </c>
      <c r="G92" s="12" t="n">
        <v>45266</v>
      </c>
      <c r="H92" s="13" t="n">
        <v>289.9</v>
      </c>
      <c r="I92" s="13" t="n">
        <v>10</v>
      </c>
      <c r="J92" s="14" t="n">
        <v>0.083</v>
      </c>
      <c r="K92" s="13" t="n">
        <v>24.1</v>
      </c>
      <c r="L92" s="13" t="n">
        <v>0</v>
      </c>
      <c r="M92" s="15">
        <f>(K92+L92)/I92</f>
        <v/>
      </c>
      <c r="N92" s="13" t="n">
        <v>12.8</v>
      </c>
      <c r="O92" s="6" t="n">
        <v>0.79</v>
      </c>
      <c r="P92" s="6" t="n">
        <v>0.7</v>
      </c>
      <c r="Q92" s="16" t="n">
        <v>1</v>
      </c>
      <c r="R92" s="13" t="n">
        <v>1</v>
      </c>
      <c r="S92" s="17">
        <f>IF(AND(ISNUMBER(Q92),Q92&gt;0),R92/Q92,"-")</f>
        <v/>
      </c>
      <c r="T92" s="9" t="n">
        <v>92</v>
      </c>
    </row>
    <row r="93">
      <c r="A93" t="inlineStr">
        <is>
          <t>Oxbowlane</t>
        </is>
      </c>
      <c r="B93" t="inlineStr">
        <is>
          <t>Developer Tools</t>
        </is>
      </c>
      <c r="C93" t="inlineStr">
        <is>
          <t>Fund II</t>
        </is>
      </c>
      <c r="D93" t="inlineStr">
        <is>
          <t>Series B</t>
        </is>
      </c>
      <c r="E93" t="inlineStr">
        <is>
          <t>Active</t>
        </is>
      </c>
      <c r="F93" s="12" t="n">
        <v>44470</v>
      </c>
      <c r="G93" s="12" t="n">
        <v>45898</v>
      </c>
      <c r="H93" s="13" t="n">
        <v>302.2</v>
      </c>
      <c r="I93" s="13" t="n">
        <v>10</v>
      </c>
      <c r="J93" s="14" t="n">
        <v>0.043</v>
      </c>
      <c r="K93" s="13" t="n">
        <v>13</v>
      </c>
      <c r="L93" s="13" t="n">
        <v>0</v>
      </c>
      <c r="M93" s="15">
        <f>(K93+L93)/I93</f>
        <v/>
      </c>
      <c r="N93" s="13" t="n">
        <v>14.3</v>
      </c>
      <c r="O93" s="6" t="n">
        <v>0.46</v>
      </c>
      <c r="P93" s="6" t="n">
        <v>0.71</v>
      </c>
      <c r="Q93" s="16" t="n">
        <v>1.37</v>
      </c>
      <c r="R93" s="13" t="n">
        <v>29.3</v>
      </c>
      <c r="S93" s="17">
        <f>IF(AND(ISNUMBER(Q93),Q93&gt;0),R93/Q93,"-")</f>
        <v/>
      </c>
      <c r="T93" s="9" t="n">
        <v>78</v>
      </c>
    </row>
    <row r="94">
      <c r="A94" t="inlineStr">
        <is>
          <t>Petrelbay</t>
        </is>
      </c>
      <c r="B94" t="inlineStr">
        <is>
          <t>Infrastructure</t>
        </is>
      </c>
      <c r="C94" t="inlineStr">
        <is>
          <t>Fund III</t>
        </is>
      </c>
      <c r="D94" t="inlineStr">
        <is>
          <t>Seed</t>
        </is>
      </c>
      <c r="E94" t="inlineStr">
        <is>
          <t>Active</t>
        </is>
      </c>
      <c r="F94" s="12" t="n">
        <v>45630</v>
      </c>
      <c r="G94" s="12" t="n">
        <v>45630</v>
      </c>
      <c r="H94" s="13" t="n">
        <v>22.6</v>
      </c>
      <c r="I94" s="13" t="n">
        <v>1.8</v>
      </c>
      <c r="J94" s="14" t="n">
        <v>0.077</v>
      </c>
      <c r="K94" s="13" t="n">
        <v>1.7</v>
      </c>
      <c r="L94" s="13" t="n">
        <v>0</v>
      </c>
      <c r="M94" s="15">
        <f>(K94+L94)/I94</f>
        <v/>
      </c>
      <c r="N94" s="13" t="n">
        <v>0.7</v>
      </c>
      <c r="O94" s="6" t="n">
        <v>-0.3</v>
      </c>
      <c r="P94" s="6" t="n">
        <v>0.51</v>
      </c>
      <c r="Q94" s="16" t="n">
        <v>0.27</v>
      </c>
      <c r="R94" s="13" t="n">
        <v>5.2</v>
      </c>
      <c r="S94" s="17">
        <f>IF(AND(ISNUMBER(Q94),Q94&gt;0),R94/Q94,"-")</f>
        <v/>
      </c>
      <c r="T94" s="9" t="n">
        <v>17</v>
      </c>
    </row>
    <row r="95">
      <c r="A95" t="inlineStr">
        <is>
          <t>Quenchpoint Energy</t>
        </is>
      </c>
      <c r="B95" t="inlineStr">
        <is>
          <t>Fintech</t>
        </is>
      </c>
      <c r="C95" t="inlineStr">
        <is>
          <t>Fund II</t>
        </is>
      </c>
      <c r="D95" t="inlineStr">
        <is>
          <t>Series A</t>
        </is>
      </c>
      <c r="E95" t="inlineStr">
        <is>
          <t>Active</t>
        </is>
      </c>
      <c r="F95" s="12" t="n">
        <v>45113</v>
      </c>
      <c r="G95" s="12" t="n">
        <v>45727</v>
      </c>
      <c r="H95" s="13" t="n">
        <v>60.3</v>
      </c>
      <c r="I95" s="13" t="n">
        <v>6</v>
      </c>
      <c r="J95" s="14" t="n">
        <v>0.13</v>
      </c>
      <c r="K95" s="13" t="n">
        <v>7.8</v>
      </c>
      <c r="L95" s="13" t="n">
        <v>0</v>
      </c>
      <c r="M95" s="15">
        <f>(K95+L95)/I95</f>
        <v/>
      </c>
      <c r="N95" s="13" t="n">
        <v>1.7</v>
      </c>
      <c r="O95" s="6" t="n">
        <v>0.62</v>
      </c>
      <c r="P95" s="6" t="n">
        <v>0.7</v>
      </c>
      <c r="Q95" s="16" t="n">
        <v>0.27</v>
      </c>
      <c r="R95" s="13" t="n">
        <v>5</v>
      </c>
      <c r="S95" s="17">
        <f>IF(AND(ISNUMBER(Q95),Q95&gt;0),R95/Q95,"-")</f>
        <v/>
      </c>
      <c r="T95" s="9" t="n">
        <v>39</v>
      </c>
    </row>
    <row r="96">
      <c r="A96" t="inlineStr">
        <is>
          <t>Saffronwell</t>
        </is>
      </c>
      <c r="B96" t="inlineStr">
        <is>
          <t>Data &amp; Analytics</t>
        </is>
      </c>
      <c r="C96" t="inlineStr">
        <is>
          <t>Fund II</t>
        </is>
      </c>
      <c r="D96" t="inlineStr">
        <is>
          <t>Series A</t>
        </is>
      </c>
      <c r="E96" t="inlineStr">
        <is>
          <t>Active</t>
        </is>
      </c>
      <c r="F96" s="12" t="n">
        <v>44721</v>
      </c>
      <c r="G96" s="12" t="n">
        <v>46151</v>
      </c>
      <c r="H96" s="13" t="n">
        <v>15.6</v>
      </c>
      <c r="I96" s="13" t="n">
        <v>2.9</v>
      </c>
      <c r="J96" s="14" t="n">
        <v>0.073</v>
      </c>
      <c r="K96" s="13" t="n">
        <v>1.1</v>
      </c>
      <c r="L96" s="13" t="n">
        <v>0</v>
      </c>
      <c r="M96" s="15">
        <f>(K96+L96)/I96</f>
        <v/>
      </c>
      <c r="N96" s="13" t="n">
        <v>1.6</v>
      </c>
      <c r="O96" s="6" t="n">
        <v>1.16</v>
      </c>
      <c r="P96" s="6" t="n">
        <v>0.74</v>
      </c>
      <c r="Q96" s="16" t="n">
        <v>0.46</v>
      </c>
      <c r="R96" s="13" t="n">
        <v>6.6</v>
      </c>
      <c r="S96" s="17">
        <f>IF(AND(ISNUMBER(Q96),Q96&gt;0),R96/Q96,"-")</f>
        <v/>
      </c>
      <c r="T96" s="9" t="n">
        <v>60</v>
      </c>
    </row>
    <row r="97">
      <c r="A97" t="inlineStr">
        <is>
          <t>Thornmill Systems</t>
        </is>
      </c>
      <c r="B97" t="inlineStr">
        <is>
          <t>Space &amp; Defense</t>
        </is>
      </c>
      <c r="C97" t="inlineStr">
        <is>
          <t>Fund II</t>
        </is>
      </c>
      <c r="D97" t="inlineStr">
        <is>
          <t>Series D+</t>
        </is>
      </c>
      <c r="E97" t="inlineStr">
        <is>
          <t>Active</t>
        </is>
      </c>
      <c r="F97" s="12" t="n">
        <v>45044</v>
      </c>
      <c r="G97" s="12" t="n">
        <v>45751</v>
      </c>
      <c r="H97" s="13" t="n">
        <v>2170.9</v>
      </c>
      <c r="I97" s="13" t="n">
        <v>20</v>
      </c>
      <c r="J97" s="14" t="n">
        <v>0.013</v>
      </c>
      <c r="K97" s="13" t="n">
        <v>28.2</v>
      </c>
      <c r="L97" s="13" t="n">
        <v>0</v>
      </c>
      <c r="M97" s="15">
        <f>(K97+L97)/I97</f>
        <v/>
      </c>
      <c r="N97" s="13" t="n">
        <v>189.6</v>
      </c>
      <c r="O97" s="6" t="n">
        <v>0.32</v>
      </c>
      <c r="P97" s="6" t="n">
        <v>0.47</v>
      </c>
      <c r="Q97" s="16" t="n">
        <v>1.76</v>
      </c>
      <c r="R97" s="13" t="n">
        <v>40.8</v>
      </c>
      <c r="S97" s="17">
        <f>IF(AND(ISNUMBER(Q97),Q97&gt;0),R97/Q97,"-")</f>
        <v/>
      </c>
      <c r="T97" s="9" t="n">
        <v>1545</v>
      </c>
    </row>
    <row r="98">
      <c r="A98" t="inlineStr">
        <is>
          <t>Uplandreach</t>
        </is>
      </c>
      <c r="B98" t="inlineStr">
        <is>
          <t>Data &amp; Analytics</t>
        </is>
      </c>
      <c r="C98" t="inlineStr">
        <is>
          <t>Fund I</t>
        </is>
      </c>
      <c r="D98" t="inlineStr">
        <is>
          <t>Series A</t>
        </is>
      </c>
      <c r="E98" t="inlineStr">
        <is>
          <t>Active</t>
        </is>
      </c>
      <c r="F98" s="12" t="n">
        <v>44153</v>
      </c>
      <c r="G98" s="12" t="n">
        <v>44564</v>
      </c>
      <c r="H98" s="13" t="n">
        <v>17.4</v>
      </c>
      <c r="I98" s="13" t="n">
        <v>2.7</v>
      </c>
      <c r="J98" s="14" t="n">
        <v>0.121</v>
      </c>
      <c r="K98" s="13" t="n">
        <v>2.1</v>
      </c>
      <c r="L98" s="13" t="n">
        <v>0</v>
      </c>
      <c r="M98" s="15">
        <f>(K98+L98)/I98</f>
        <v/>
      </c>
      <c r="N98" s="13" t="n">
        <v>2.8</v>
      </c>
      <c r="O98" s="6" t="n">
        <v>1.99</v>
      </c>
      <c r="P98" s="6" t="n">
        <v>0.76</v>
      </c>
      <c r="Q98" s="16" t="n">
        <v>0.53</v>
      </c>
      <c r="R98" s="13" t="n">
        <v>11.1</v>
      </c>
      <c r="S98" s="17">
        <f>IF(AND(ISNUMBER(Q98),Q98&gt;0),R98/Q98,"-")</f>
        <v/>
      </c>
      <c r="T98" s="9" t="n">
        <v>64</v>
      </c>
    </row>
    <row r="99">
      <c r="A99" t="inlineStr">
        <is>
          <t>Ventabrook</t>
        </is>
      </c>
      <c r="B99" t="inlineStr">
        <is>
          <t>Developer Tools</t>
        </is>
      </c>
      <c r="C99" t="inlineStr">
        <is>
          <t>Fund III</t>
        </is>
      </c>
      <c r="D99" t="inlineStr">
        <is>
          <t>Seed</t>
        </is>
      </c>
      <c r="E99" t="inlineStr">
        <is>
          <t>Active</t>
        </is>
      </c>
      <c r="F99" s="12" t="n">
        <v>45982</v>
      </c>
      <c r="G99" s="12" t="n">
        <v>45982</v>
      </c>
      <c r="H99" s="13" t="n">
        <v>22.1</v>
      </c>
      <c r="I99" s="13" t="n">
        <v>2.1</v>
      </c>
      <c r="J99" s="14" t="n">
        <v>0.103</v>
      </c>
      <c r="K99" s="13" t="n">
        <v>2.3</v>
      </c>
      <c r="L99" s="13" t="n">
        <v>0</v>
      </c>
      <c r="M99" s="15">
        <f>(K99+L99)/I99</f>
        <v/>
      </c>
      <c r="N99" s="13" t="n">
        <v>1.3</v>
      </c>
      <c r="O99" s="6" t="n">
        <v>1.67</v>
      </c>
      <c r="P99" s="6" t="n">
        <v>0.76</v>
      </c>
      <c r="Q99" s="16" t="n">
        <v>0.16</v>
      </c>
      <c r="R99" s="13" t="n">
        <v>5.1</v>
      </c>
      <c r="S99" s="17">
        <f>IF(AND(ISNUMBER(Q99),Q99&gt;0),R99/Q99,"-")</f>
        <v/>
      </c>
      <c r="T99" s="9" t="n">
        <v>21</v>
      </c>
    </row>
    <row r="100">
      <c r="A100" t="inlineStr">
        <is>
          <t>Wildebrook</t>
        </is>
      </c>
      <c r="B100" t="inlineStr">
        <is>
          <t>Enterprise SaaS</t>
        </is>
      </c>
      <c r="C100" t="inlineStr">
        <is>
          <t>Fund II</t>
        </is>
      </c>
      <c r="D100" t="inlineStr">
        <is>
          <t>Series B</t>
        </is>
      </c>
      <c r="E100" t="inlineStr">
        <is>
          <t>Active</t>
        </is>
      </c>
      <c r="F100" s="12" t="n">
        <v>44637</v>
      </c>
      <c r="G100" s="12" t="n">
        <v>46364</v>
      </c>
      <c r="H100" s="13" t="n">
        <v>120</v>
      </c>
      <c r="I100" s="13" t="n">
        <v>3.7</v>
      </c>
      <c r="J100" s="14" t="n">
        <v>0.108</v>
      </c>
      <c r="K100" s="13" t="n">
        <v>12.96</v>
      </c>
      <c r="L100" s="13" t="n">
        <v>0</v>
      </c>
      <c r="M100" s="15">
        <f>(K100+L100)/I100</f>
        <v/>
      </c>
      <c r="N100" s="13" t="n">
        <v>1.2</v>
      </c>
      <c r="O100" s="6" t="n">
        <v>1.99</v>
      </c>
      <c r="P100" s="6" t="n">
        <v>0.77</v>
      </c>
      <c r="Q100" s="16" t="n">
        <v>0.3</v>
      </c>
      <c r="R100" s="13" t="n">
        <v>6.8</v>
      </c>
      <c r="S100" s="17">
        <f>IF(AND(ISNUMBER(Q100),Q100&gt;0),R100/Q100,"-")</f>
        <v/>
      </c>
      <c r="T100" s="9" t="n">
        <v>54</v>
      </c>
    </row>
    <row r="101">
      <c r="A101" t="inlineStr">
        <is>
          <t>Zerocrest</t>
        </is>
      </c>
      <c r="B101" t="inlineStr">
        <is>
          <t>AI/ML</t>
        </is>
      </c>
      <c r="C101" t="inlineStr">
        <is>
          <t>Fund III</t>
        </is>
      </c>
      <c r="D101" t="inlineStr">
        <is>
          <t>Seed</t>
        </is>
      </c>
      <c r="E101" t="inlineStr">
        <is>
          <t>Shut Down</t>
        </is>
      </c>
      <c r="F101" s="12" t="n">
        <v>45506</v>
      </c>
      <c r="G101" s="12" t="n">
        <v>45506</v>
      </c>
      <c r="H101" s="13" t="n">
        <v>12.1</v>
      </c>
      <c r="I101" s="13" t="n">
        <v>0.7</v>
      </c>
      <c r="J101" s="14" t="n">
        <v>0.082</v>
      </c>
      <c r="K101" s="13" t="n">
        <v>0</v>
      </c>
      <c r="L101" s="13" t="n">
        <v>0</v>
      </c>
      <c r="M101" s="15">
        <f>(K101+L101)/I101</f>
        <v/>
      </c>
      <c r="N101" s="13" t="n"/>
      <c r="O101" s="6" t="n"/>
      <c r="P101" s="6" t="n"/>
      <c r="Q101" s="16" t="n"/>
      <c r="R101" s="13" t="n"/>
      <c r="S101" s="17">
        <f>IF(AND(ISNUMBER(Q101),Q101&gt;0),R101/Q101,"-")</f>
        <v/>
      </c>
      <c r="T101" s="9" t="n"/>
    </row>
    <row r="102">
      <c r="A102" t="inlineStr">
        <is>
          <t>Quillbrook Labs</t>
        </is>
      </c>
      <c r="B102" t="inlineStr">
        <is>
          <t>Cybersecurity</t>
        </is>
      </c>
      <c r="C102" t="inlineStr">
        <is>
          <t>Fund III</t>
        </is>
      </c>
      <c r="D102" t="inlineStr">
        <is>
          <t>Series A</t>
        </is>
      </c>
      <c r="E102" t="inlineStr">
        <is>
          <t>Active</t>
        </is>
      </c>
      <c r="F102" s="12" t="n">
        <v>46338</v>
      </c>
      <c r="G102" s="12" t="n">
        <v>46458</v>
      </c>
      <c r="H102" s="13" t="n">
        <v>40</v>
      </c>
      <c r="I102" s="13" t="n">
        <v>2.5</v>
      </c>
      <c r="J102" s="14" t="n">
        <v>0.108</v>
      </c>
      <c r="K102" s="13" t="n">
        <v>4.32</v>
      </c>
      <c r="L102" s="13" t="n">
        <v>0</v>
      </c>
      <c r="M102" s="15">
        <f>(K102+L102)/I102</f>
        <v/>
      </c>
      <c r="N102" s="13" t="n"/>
      <c r="O102" s="6" t="n"/>
      <c r="P102" s="6" t="n"/>
      <c r="Q102" s="16" t="n"/>
      <c r="R102" s="13" t="n"/>
      <c r="S102" s="17">
        <f>IF(AND(ISNUMBER(Q102),Q102&gt;0),R102/Q102,"-")</f>
        <v/>
      </c>
      <c r="T102"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21" customWidth="1" min="3" max="3"/>
    <col width="30" customWidth="1" min="4" max="4"/>
    <col width="13" customWidth="1" min="5" max="5"/>
    <col width="13" customWidth="1" min="6" max="6"/>
    <col width="13" customWidth="1" min="7" max="7"/>
    <col width="13" customWidth="1" min="8" max="8"/>
    <col width="60" customWidth="1" min="9" max="9"/>
  </cols>
  <sheetData>
    <row r="1" ht="30" customHeight="1">
      <c r="A1" s="1" t="inlineStr">
        <is>
          <t>Date</t>
        </is>
      </c>
      <c r="B1" s="1" t="inlineStr">
        <is>
          <t>Company</t>
        </is>
      </c>
      <c r="C1" s="1" t="inlineStr">
        <is>
          <t>Event</t>
        </is>
      </c>
      <c r="D1" s="1" t="inlineStr">
        <is>
          <t>Detail</t>
        </is>
      </c>
      <c r="E1" s="1" t="inlineStr">
        <is>
          <t>Post-Money / Deal Value ($M)</t>
        </is>
      </c>
      <c r="F1" s="1" t="inlineStr">
        <is>
          <t>HC Investment ($M)</t>
        </is>
      </c>
      <c r="G1" s="1" t="inlineStr">
        <is>
          <t>HC Ownership After (FD %)</t>
        </is>
      </c>
      <c r="H1" s="1" t="inlineStr">
        <is>
          <t>Proceeds to HC ($M)</t>
        </is>
      </c>
      <c r="I1" s="1" t="inlineStr">
        <is>
          <t>Notes</t>
        </is>
      </c>
    </row>
    <row r="2">
      <c r="A2" s="18" t="n">
        <v>46483</v>
      </c>
      <c r="B2" t="inlineStr">
        <is>
          <t>Arcfoundry</t>
        </is>
      </c>
      <c r="C2" t="inlineStr">
        <is>
          <t>Distribution</t>
        </is>
      </c>
      <c r="D2" t="inlineStr">
        <is>
          <t>Holdback released</t>
        </is>
      </c>
      <c r="H2" t="n">
        <v>1.28</v>
      </c>
      <c r="I2" t="inlineStr">
        <is>
          <t>Holdback released on schedule.</t>
        </is>
      </c>
    </row>
    <row r="3">
      <c r="A3" s="18" t="n">
        <v>46487</v>
      </c>
      <c r="B3" t="inlineStr">
        <is>
          <t>Umberly</t>
        </is>
      </c>
      <c r="C3" t="inlineStr">
        <is>
          <t>Priced Equity Round</t>
        </is>
      </c>
      <c r="D3" t="inlineStr">
        <is>
          <t>Series C-1 (recap)</t>
        </is>
      </c>
      <c r="E3" t="n">
        <v>40</v>
      </c>
      <c r="G3" t="n">
        <v>0.03</v>
      </c>
      <c r="I3" t="inlineStr">
        <is>
          <t>Plan of reorganisation confirmed; new money from existing lenders. HC did not participate.</t>
        </is>
      </c>
    </row>
    <row r="4">
      <c r="A4" s="18" t="n">
        <v>46492</v>
      </c>
      <c r="B4" t="inlineStr">
        <is>
          <t>Pellagrin</t>
        </is>
      </c>
      <c r="C4" t="inlineStr">
        <is>
          <t>Priced Equity Round</t>
        </is>
      </c>
      <c r="D4" t="inlineStr">
        <is>
          <t>Series B extension (same terms)</t>
        </is>
      </c>
      <c r="E4" t="n">
        <v>176.3</v>
      </c>
      <c r="F4" t="n">
        <v>0.5</v>
      </c>
      <c r="G4" t="n">
        <v>0.082</v>
      </c>
      <c r="I4" t="inlineStr">
        <is>
          <t>Extension of the prior round at the same post-money.</t>
        </is>
      </c>
    </row>
    <row r="5">
      <c r="A5" s="18" t="n">
        <v>46512</v>
      </c>
      <c r="B5" t="inlineStr">
        <is>
          <t>Nimbrel</t>
        </is>
      </c>
      <c r="C5" t="inlineStr">
        <is>
          <t>Secondary Sale</t>
        </is>
      </c>
      <c r="D5" t="inlineStr">
        <is>
          <t>HC sold 40% of its position</t>
        </is>
      </c>
      <c r="E5" t="n">
        <v>70</v>
      </c>
      <c r="G5" t="n">
        <v>0.0462</v>
      </c>
      <c r="H5" t="n">
        <v>2.156</v>
      </c>
      <c r="I5" t="inlineStr">
        <is>
          <t>Buyer paid the Series B price.</t>
        </is>
      </c>
    </row>
    <row r="6">
      <c r="A6" s="18" t="n">
        <v>46519</v>
      </c>
      <c r="B6" t="inlineStr">
        <is>
          <t>Elmsworth Data</t>
        </is>
      </c>
      <c r="C6" t="inlineStr">
        <is>
          <t>Acquisition (Announced)</t>
        </is>
      </c>
      <c r="D6" t="inlineStr">
        <is>
          <t>Definitive agreement signed, all cash</t>
        </is>
      </c>
      <c r="E6" t="n">
        <v>900</v>
      </c>
      <c r="I6" t="inlineStr">
        <is>
          <t>Expected to close in Q3 2027. No cash received.</t>
        </is>
      </c>
    </row>
    <row r="7">
      <c r="A7" s="18" t="n">
        <v>46525</v>
      </c>
      <c r="B7" t="inlineStr">
        <is>
          <t>Gorseline</t>
        </is>
      </c>
      <c r="C7" t="inlineStr">
        <is>
          <t>Priced Equity Round</t>
        </is>
      </c>
      <c r="D7" t="inlineStr">
        <is>
          <t>Series B</t>
        </is>
      </c>
      <c r="E7" t="n">
        <v>90</v>
      </c>
      <c r="G7" t="n">
        <v>0.09</v>
      </c>
      <c r="I7" t="inlineStr">
        <is>
          <t>$20.0M round led by a new investor. HC did not participate.</t>
        </is>
      </c>
    </row>
    <row r="8">
      <c r="A8" s="18" t="n">
        <v>46532</v>
      </c>
      <c r="B8" t="inlineStr">
        <is>
          <t>Kestwick</t>
        </is>
      </c>
      <c r="C8" t="inlineStr">
        <is>
          <t>Shutdown</t>
        </is>
      </c>
      <c r="D8" t="inlineStr">
        <is>
          <t>Ceased operations</t>
        </is>
      </c>
      <c r="I8" t="inlineStr">
        <is>
          <t>Board voted to wind down. No recovery expected.</t>
        </is>
      </c>
    </row>
    <row r="9">
      <c r="A9" s="18" t="n">
        <v>46539</v>
      </c>
      <c r="B9" t="inlineStr">
        <is>
          <t>Tidewell Health</t>
        </is>
      </c>
      <c r="C9" t="inlineStr">
        <is>
          <t>Convertible Note</t>
        </is>
      </c>
      <c r="D9" t="inlineStr">
        <is>
          <t>$2.0M bridge note, $20.0M valuation cap</t>
        </is>
      </c>
      <c r="I9" t="inlineStr">
        <is>
          <t>Uncapped interest, converts at next priced round. HC did not participate.</t>
        </is>
      </c>
    </row>
    <row r="10">
      <c r="A10" s="18" t="n">
        <v>46546</v>
      </c>
      <c r="B10" t="inlineStr">
        <is>
          <t>Mardellan</t>
        </is>
      </c>
      <c r="C10" t="inlineStr">
        <is>
          <t>Secondary Sale</t>
        </is>
      </c>
      <c r="D10" t="inlineStr">
        <is>
          <t>HC sold 50% of its position</t>
        </is>
      </c>
      <c r="E10" t="n">
        <v>5000</v>
      </c>
      <c r="G10" t="n">
        <v>0.006</v>
      </c>
      <c r="H10" t="n">
        <v>30</v>
      </c>
      <c r="I10" t="inlineStr">
        <is>
          <t>Buyer paid 12% below the Series D+ price.</t>
        </is>
      </c>
    </row>
    <row r="11">
      <c r="A11" s="18" t="n">
        <v>46553</v>
      </c>
      <c r="B11" t="inlineStr">
        <is>
          <t>Thornmill Systems</t>
        </is>
      </c>
      <c r="C11" t="inlineStr">
        <is>
          <t>Direct Listing</t>
        </is>
      </c>
      <c r="D11" t="inlineStr">
        <is>
          <t>Listed on Nasdaq</t>
        </is>
      </c>
      <c r="E11" t="n">
        <v>2500</v>
      </c>
      <c r="G11" t="n">
        <v>0.013</v>
      </c>
      <c r="I11" t="inlineStr">
        <is>
          <t>Direct listing; no lock-up.</t>
        </is>
      </c>
    </row>
    <row r="12">
      <c r="A12" s="18" t="n">
        <v>46558</v>
      </c>
      <c r="B12" t="inlineStr">
        <is>
          <t>Elmsworth Data</t>
        </is>
      </c>
      <c r="C12" t="inlineStr">
        <is>
          <t>Acquisition (Closed)</t>
        </is>
      </c>
      <c r="D12" t="inlineStr">
        <is>
          <t>All-cash acquisition</t>
        </is>
      </c>
      <c r="E12" t="n">
        <v>900</v>
      </c>
      <c r="H12" t="n">
        <v>34.2</v>
      </c>
      <c r="I12" t="inlineStr">
        <is>
          <t>Closed ahead of schedule; cash received in full.</t>
        </is>
      </c>
    </row>
    <row r="13">
      <c r="A13" s="18" t="n">
        <v>46560</v>
      </c>
      <c r="B13" t="inlineStr">
        <is>
          <t>Oakenvale</t>
        </is>
      </c>
      <c r="C13" t="inlineStr">
        <is>
          <t>Acquisition (Closed)</t>
        </is>
      </c>
      <c r="D13" t="inlineStr">
        <is>
          <t>All-cash acquisition</t>
        </is>
      </c>
      <c r="E13" t="n">
        <v>30</v>
      </c>
      <c r="H13" t="n">
        <v>1.89</v>
      </c>
      <c r="I13" t="inlineStr">
        <is>
          <t>Transaction closed and cash received.</t>
        </is>
      </c>
    </row>
    <row r="14">
      <c r="A14" s="18" t="n">
        <v>46563</v>
      </c>
      <c r="B14" t="inlineStr">
        <is>
          <t>Dovelane Systems</t>
        </is>
      </c>
      <c r="C14" t="inlineStr">
        <is>
          <t>Priced Equity Round</t>
        </is>
      </c>
      <c r="D14" t="inlineStr">
        <is>
          <t>Series C (down round)</t>
        </is>
      </c>
      <c r="E14" t="n">
        <v>83.04000000000001</v>
      </c>
      <c r="G14" t="n">
        <v>0.05</v>
      </c>
      <c r="I14" t="inlineStr">
        <is>
          <t>$15.0M round led by a new investor at the term-sheet price. HC did not participate.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cols>
    <col width="26" customWidth="1" min="1" max="1"/>
    <col width="110" customWidth="1" min="2" max="2"/>
  </cols>
  <sheetData>
    <row r="1">
      <c r="A1" s="10" t="inlineStr">
        <is>
          <t>Field</t>
        </is>
      </c>
      <c r="B1" s="10" t="inlineStr">
        <is>
          <t>Definition</t>
        </is>
      </c>
    </row>
    <row r="2">
      <c r="A2" t="inlineStr">
        <is>
          <t>PORTFOLIO TAB</t>
        </is>
      </c>
    </row>
    <row r="3">
      <c r="A3" t="inlineStr">
        <is>
          <t>Company</t>
        </is>
      </c>
      <c r="B3" t="inlineStr">
        <is>
          <t>Fictional portfolio company. Every name in this workbook is invented for this exercise.</t>
        </is>
      </c>
    </row>
    <row r="4">
      <c r="A4" t="inlineStr">
        <is>
          <t>Sector</t>
        </is>
      </c>
      <c r="B4" t="inlineStr">
        <is>
          <t>Primary sector classification.</t>
        </is>
      </c>
    </row>
    <row r="5">
      <c r="A5" t="inlineStr">
        <is>
          <t>Fund</t>
        </is>
      </c>
      <c r="B5" t="inlineStr">
        <is>
          <t>Synthetic fund vehicle that holds the investment (Fund I, Fund II, Fund III).</t>
        </is>
      </c>
    </row>
    <row r="6">
      <c r="A6" t="inlineStr">
        <is>
          <t>Stage</t>
        </is>
      </c>
      <c r="B6" t="inlineStr">
        <is>
          <t>Most recent priced round as of June 30, 2026.</t>
        </is>
      </c>
    </row>
    <row r="7">
      <c r="A7" t="inlineStr">
        <is>
          <t>Status</t>
        </is>
      </c>
      <c r="B7" t="inlineStr">
        <is>
          <t>Active, Acquired, or Shut Down as of June 30, 2026. Operating metrics are blank for non-active companies.</t>
        </is>
      </c>
    </row>
    <row r="8">
      <c r="A8" t="inlineStr">
        <is>
          <t>First Investment</t>
        </is>
      </c>
      <c r="B8" t="inlineStr">
        <is>
          <t>Date of the fund's initial investment.</t>
        </is>
      </c>
    </row>
    <row r="9">
      <c r="A9" t="inlineStr">
        <is>
          <t>Latest Round</t>
        </is>
      </c>
      <c r="B9" t="inlineStr">
        <is>
          <t>Date of the most recent priced round as of June 30, 2026.</t>
        </is>
      </c>
    </row>
    <row r="10">
      <c r="A10" t="inlineStr">
        <is>
          <t>Latest Post-Money ($M)</t>
        </is>
      </c>
      <c r="B10" t="inlineStr">
        <is>
          <t>Post-money valuation of that round, USD millions.</t>
        </is>
      </c>
    </row>
    <row r="11">
      <c r="A11" t="inlineStr">
        <is>
          <t>Invested ($M)</t>
        </is>
      </c>
      <c r="B11" t="inlineStr">
        <is>
          <t>Total invested capital as of June 30, 2026, USD millions.</t>
        </is>
      </c>
    </row>
    <row r="12">
      <c r="A12" t="inlineStr">
        <is>
          <t>Ownership (FD %)</t>
        </is>
      </c>
      <c r="B12" t="inlineStr">
        <is>
          <t>Fully diluted ownership as of June 30, 2026.</t>
        </is>
      </c>
    </row>
    <row r="13">
      <c r="A13" t="inlineStr">
        <is>
          <t>Prior Mark ($M)</t>
        </is>
      </c>
      <c r="B13" t="inlineStr">
        <is>
          <t>Carrying fair value at the June 30, 2026 close: Ownership x Latest Post-Money.</t>
        </is>
      </c>
    </row>
    <row r="14">
      <c r="A14" t="inlineStr">
        <is>
          <t>Realized ($M)</t>
        </is>
      </c>
      <c r="B14" t="inlineStr">
        <is>
          <t>Cumulative proceeds returned from exits as of June 30, 2026.</t>
        </is>
      </c>
    </row>
    <row r="15">
      <c r="A15" t="inlineStr">
        <is>
          <t>MOIC (x)</t>
        </is>
      </c>
      <c r="B15" t="inlineStr">
        <is>
          <t>Live formula: (Prior Mark + Realized) / Invested.</t>
        </is>
      </c>
    </row>
    <row r="16">
      <c r="A16" t="inlineStr">
        <is>
          <t>ARR ($M)</t>
        </is>
      </c>
      <c r="B16" t="inlineStr">
        <is>
          <t>Annual recurring revenue (annualized revenue for non-SaaS), USD millions. Blank if pre-revenue or inactive.</t>
        </is>
      </c>
    </row>
    <row r="17">
      <c r="A17" t="inlineStr">
        <is>
          <t>ARR Growth (YoY %)</t>
        </is>
      </c>
      <c r="B17" t="inlineStr">
        <is>
          <t>Year-over-year ARR growth. Blank when the prior-year base is too small to be meaningful.</t>
        </is>
      </c>
    </row>
    <row r="18">
      <c r="A18" t="inlineStr">
        <is>
          <t>Gross Margin (%)</t>
        </is>
      </c>
      <c r="B18" t="inlineStr">
        <is>
          <t>Blended gross margin.</t>
        </is>
      </c>
    </row>
    <row r="19">
      <c r="A19" t="inlineStr">
        <is>
          <t>Net Burn ($M/mo)</t>
        </is>
      </c>
      <c r="B19" t="inlineStr">
        <is>
          <t>Average net cash burn per month. Zero means cash-flow breakeven.</t>
        </is>
      </c>
    </row>
    <row r="20">
      <c r="A20" t="inlineStr">
        <is>
          <t>Cash ($M)</t>
        </is>
      </c>
      <c r="B20" t="inlineStr">
        <is>
          <t>Cash and equivalents on hand.</t>
        </is>
      </c>
    </row>
    <row r="21">
      <c r="A21" t="inlineStr">
        <is>
          <t>Runway (mo)</t>
        </is>
      </c>
      <c r="B21" t="inlineStr">
        <is>
          <t>Live formula: Cash / Net Burn. Shows "-" when burn is zero or the company is inactive.</t>
        </is>
      </c>
    </row>
    <row r="22">
      <c r="A22" t="inlineStr">
        <is>
          <t>Headcount</t>
        </is>
      </c>
      <c r="B22" t="inlineStr">
        <is>
          <t>Full-time employees.</t>
        </is>
      </c>
    </row>
    <row r="24">
      <c r="A24" t="inlineStr">
        <is>
          <t>Q3 2026 ACTIVITY TAB</t>
        </is>
      </c>
    </row>
    <row r="25">
      <c r="A25" t="inlineStr">
        <is>
          <t>Date</t>
        </is>
      </c>
      <c r="B25" t="inlineStr">
        <is>
          <t>Date the event occurred or was signed.</t>
        </is>
      </c>
    </row>
    <row r="26">
      <c r="A26" t="inlineStr">
        <is>
          <t>Event</t>
        </is>
      </c>
      <c r="B26" t="inlineStr">
        <is>
          <t>Priced Equity Round, Convertible Note, IPO, Acquisition (Closed), Acquisition (Announced), Shutdown, Secondary Sale, or Term Sheet Signed.</t>
        </is>
      </c>
    </row>
    <row r="27">
      <c r="A27" t="inlineStr">
        <is>
          <t>Detail</t>
        </is>
      </c>
      <c r="B27" t="inlineStr">
        <is>
          <t>Round name or a one-line description of the event.</t>
        </is>
      </c>
    </row>
    <row r="28">
      <c r="A28" t="inlineStr">
        <is>
          <t>Post-Money / Deal Value ($M)</t>
        </is>
      </c>
      <c r="B28" t="inlineStr">
        <is>
          <t>New post-money for rounds, market capitalization for the IPO, deal value for acquisitions, implied valuation for secondaries. Blank where not applicable.</t>
        </is>
      </c>
    </row>
    <row r="29">
      <c r="A29" t="inlineStr">
        <is>
          <t>HC Investment ($M)</t>
        </is>
      </c>
      <c r="B29" t="inlineStr">
        <is>
          <t>New capital HC put in as part of the event, if any.</t>
        </is>
      </c>
    </row>
    <row r="30">
      <c r="A30" t="inlineStr">
        <is>
          <t>HC Ownership After (FD %)</t>
        </is>
      </c>
      <c r="B30" t="inlineStr">
        <is>
          <t>HC's fully diluted ownership immediately after the event, where the event changes it.</t>
        </is>
      </c>
    </row>
    <row r="31">
      <c r="A31" t="inlineStr">
        <is>
          <t>Proceeds to HC ($M)</t>
        </is>
      </c>
      <c r="B31" t="inlineStr">
        <is>
          <t>Cash actually received by HC during the quarter from the event, if any.</t>
        </is>
      </c>
    </row>
    <row r="32">
      <c r="A32" t="inlineStr">
        <is>
          <t>Notes</t>
        </is>
      </c>
      <c r="B32" t="inlineStr">
        <is>
          <t>Context that may matter for treatment.</t>
        </is>
      </c>
    </row>
    <row r="34">
      <c r="A34" t="inlineStr">
        <is>
          <t>Notes</t>
        </is>
      </c>
    </row>
    <row r="35">
      <c r="A35" t="inlineStr">
        <is>
          <t>1</t>
        </is>
      </c>
      <c r="B35" t="inlineStr">
        <is>
          <t>All data is synthetic, generated by Human Capital Finance for a candidate assessment (September 2026). It contains no real company, fund, or investor information.</t>
        </is>
      </c>
    </row>
    <row r="36">
      <c r="A36" t="inlineStr">
        <is>
          <t>2</t>
        </is>
      </c>
      <c r="B36" t="inlineStr">
        <is>
          <t>The Portfolio tab is the book as of the June 30, 2026 close; operating metrics reflect the most recent reporting available as of late August 2026. This exercise proposes marks as of September 30, 2026.</t>
        </is>
      </c>
    </row>
    <row r="37">
      <c r="A37" t="inlineStr">
        <is>
          <t>3</t>
        </is>
      </c>
      <c r="B37" t="inlineStr">
        <is>
          <t>The Q3 2026 Activity tab lists every portfolio event between July 1 and September 30, 2026. A company that does not appear on that tab had no activity during the quarter.</t>
        </is>
      </c>
    </row>
    <row r="38">
      <c r="A38" t="inlineStr">
        <is>
          <t>4</t>
        </is>
      </c>
      <c r="B38" t="inlineStr">
        <is>
          <t>MOIC (x) and Runway (mo) are live formulas; every other cell is a hardcoded value.</t>
        </is>
      </c>
    </row>
    <row r="40">
      <c r="A40" t="inlineStr">
        <is>
          <t>SNAPSHOT</t>
        </is>
      </c>
    </row>
    <row r="41">
      <c r="A41" t="inlineStr">
        <is>
          <t>Generated by</t>
        </is>
      </c>
      <c r="B41" t="inlineStr">
        <is>
          <t>hc-valuation engine 0.1.0, policy 2026Q3-0.2, run 04fed9102f2e</t>
        </is>
      </c>
    </row>
    <row r="42">
      <c r="A42" t="inlineStr">
        <is>
          <t>Portfolio tab</t>
        </is>
      </c>
      <c r="B42" t="inlineStr">
        <is>
          <t>The book as of the Q3 2026 close (2026-09-30): Prior Mark is the booked mark from that run; Ownership, Invested and Realized are post-activity. Operating metrics are carried unchanged from the source file and should be refreshed.</t>
        </is>
      </c>
    </row>
    <row r="43">
      <c r="A43" t="inlineStr">
        <is>
          <t>Q4 2026 Activity tab</t>
        </is>
      </c>
      <c r="B43" t="inlineStr">
        <is>
          <t>Empty. Record every portfolio event in Q4 2026 here, then run hc-valuation with the matching policy file.</t>
        </is>
      </c>
    </row>
    <row r="44">
      <c r="A44" t="inlineStr">
        <is>
          <t>Open Items tab</t>
        </is>
      </c>
      <c r="B44" t="inlineStr">
        <is>
          <t>Unresolved items carried from the prior run (also emitted as open_items_carry.yaml, which the pipeline reads as prior_open_items).</t>
        </is>
      </c>
    </row>
    <row r="45">
      <c r="A45" t="inlineStr">
        <is>
          <t>Snapshot Notes tab</t>
        </is>
      </c>
      <c r="B45" t="inlineStr">
        <is>
          <t>Rows whose Prior Mark deliberately departs from Ownership x Latest Post-Money (note at cost, pending deal, override). Also carried in open_items_carry.yaml as mark_basis.</t>
        </is>
      </c>
    </row>
    <row r="47">
      <c r="A47" t="inlineStr">
        <is>
          <t>SNAPSHOT</t>
        </is>
      </c>
    </row>
    <row r="48">
      <c r="A48" t="inlineStr">
        <is>
          <t>Generated by</t>
        </is>
      </c>
      <c r="B48" t="inlineStr">
        <is>
          <t>hc-valuation engine 0.1.0, policy 2026Q4-0.1, run df62f01d0864</t>
        </is>
      </c>
    </row>
    <row r="49">
      <c r="A49" t="inlineStr">
        <is>
          <t>Portfolio tab</t>
        </is>
      </c>
      <c r="B49" t="inlineStr">
        <is>
          <t>The book as of the Q4 2026 close (2026-12-31): Prior Mark is the booked mark from that run; Ownership, Invested and Realized are post-activity. Operating metrics are carried unchanged from the source file and should be refreshed.</t>
        </is>
      </c>
    </row>
    <row r="50">
      <c r="A50" t="inlineStr">
        <is>
          <t>Q1 2027 Activity tab</t>
        </is>
      </c>
      <c r="B50" t="inlineStr">
        <is>
          <t>Empty. Record every portfolio event in Q1 2027 here, then run hc-valuation with the matching policy file.</t>
        </is>
      </c>
    </row>
    <row r="51">
      <c r="A51" t="inlineStr">
        <is>
          <t>Open Items tab</t>
        </is>
      </c>
      <c r="B51" t="inlineStr">
        <is>
          <t>Unresolved items carried from the prior run (also emitted as open_items_carry.yaml, which the pipeline reads as prior_open_items).</t>
        </is>
      </c>
    </row>
    <row r="52">
      <c r="A52" t="inlineStr">
        <is>
          <t>Snapshot Notes tab</t>
        </is>
      </c>
      <c r="B52" t="inlineStr">
        <is>
          <t>Rows whose Prior Mark deliberately departs from Ownership x Latest Post-Money (note at cost, pending deal, override). Also carried in open_items_carry.yaml as mark_basis.</t>
        </is>
      </c>
    </row>
    <row r="54">
      <c r="A54" t="inlineStr">
        <is>
          <t>SNAPSHOT</t>
        </is>
      </c>
    </row>
    <row r="55">
      <c r="A55" t="inlineStr">
        <is>
          <t>Generated by</t>
        </is>
      </c>
      <c r="B55" t="inlineStr">
        <is>
          <t>hc-valuation engine 0.1.0, policy 2027Q1-0.1, run 8cefe0cb2697</t>
        </is>
      </c>
    </row>
    <row r="56">
      <c r="A56" t="inlineStr">
        <is>
          <t>Portfolio tab</t>
        </is>
      </c>
      <c r="B56" t="inlineStr">
        <is>
          <t>The book as of the Q1 2027 close (2027-03-31): Prior Mark is the booked mark from that run; Ownership, Invested and Realized are post-activity. Operating metrics are carried unchanged from the source file and should be refreshed.</t>
        </is>
      </c>
    </row>
    <row r="57">
      <c r="A57" t="inlineStr">
        <is>
          <t>Q2 2027 Activity tab</t>
        </is>
      </c>
      <c r="B57" t="inlineStr">
        <is>
          <t>Empty. Record every portfolio event in Q2 2027 here, then run hc-valuation with the matching policy file.</t>
        </is>
      </c>
    </row>
    <row r="58">
      <c r="A58" t="inlineStr">
        <is>
          <t>Open Items tab</t>
        </is>
      </c>
      <c r="B58" t="inlineStr">
        <is>
          <t>Unresolved items carried from the prior run (also emitted as open_items_carry.yaml, which the pipeline reads as prior_open_items).</t>
        </is>
      </c>
    </row>
    <row r="59">
      <c r="A59" t="inlineStr">
        <is>
          <t>Snapshot Notes tab</t>
        </is>
      </c>
      <c r="B59" t="inlineStr">
        <is>
          <t>Rows whose Prior Mark deliberately departs from Ownership x Latest Post-Money (note at cost, pending deal, override). Also carried in open_items_carry.yaml as mark_basis.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4" customWidth="1" min="4" max="4"/>
    <col width="18" customWidth="1" min="5" max="5"/>
    <col width="12" customWidth="1" min="6" max="6"/>
    <col width="70" customWidth="1" min="7" max="7"/>
    <col width="14" customWidth="1" min="8" max="8"/>
    <col width="10" customWidth="1" min="9" max="9"/>
  </cols>
  <sheetData>
    <row r="1" ht="30" customHeight="1">
      <c r="A1" s="1" t="inlineStr">
        <is>
          <t>Company</t>
        </is>
      </c>
      <c r="B1" s="1" t="inlineStr">
        <is>
          <t>Kind</t>
        </is>
      </c>
      <c r="C1" s="1" t="inlineStr">
        <is>
          <t>Opened</t>
        </is>
      </c>
      <c r="D1" s="1" t="inlineStr">
        <is>
          <t>Opened Quarter</t>
        </is>
      </c>
      <c r="E1" s="1" t="inlineStr">
        <is>
          <t>Expected Resolution</t>
        </is>
      </c>
      <c r="F1" s="1" t="inlineStr">
        <is>
          <t>Amount ($M)</t>
        </is>
      </c>
      <c r="G1" s="1" t="inlineStr">
        <is>
          <t>Detail</t>
        </is>
      </c>
      <c r="H1" s="1" t="inlineStr">
        <is>
          <t>Age (quarters)</t>
        </is>
      </c>
      <c r="I1" s="1" t="inlineStr">
        <is>
          <t>Escalated</t>
        </is>
      </c>
    </row>
    <row r="2">
      <c r="A2" t="inlineStr">
        <is>
          <t>Dovelane Systems</t>
        </is>
      </c>
      <c r="B2" t="inlineStr">
        <is>
          <t>term_sheet</t>
        </is>
      </c>
      <c r="C2" s="19" t="n">
        <v>46357</v>
      </c>
      <c r="D2" t="inlineStr">
        <is>
          <t>Q4 2026</t>
        </is>
      </c>
      <c r="E2" s="19" t="n"/>
      <c r="F2" t="n">
        <v>83.04000000000001</v>
      </c>
      <c r="G2" t="inlineStr">
        <is>
          <t>Not closed; diligence underway, expected to close Q1.</t>
        </is>
      </c>
      <c r="H2" t="n">
        <v>1</v>
      </c>
      <c r="I2" t="inlineStr">
        <is>
          <t>yes</t>
        </is>
      </c>
    </row>
    <row r="3">
      <c r="A3" t="inlineStr">
        <is>
          <t>Fernwave</t>
        </is>
      </c>
      <c r="B3" t="inlineStr">
        <is>
          <t>ipo_lockup</t>
        </is>
      </c>
      <c r="C3" s="19" t="n">
        <v>46395</v>
      </c>
      <c r="D3" t="inlineStr">
        <is>
          <t>Q1 2027</t>
        </is>
      </c>
      <c r="E3" s="19" t="n">
        <v>46575</v>
      </c>
      <c r="G3" t="inlineStr">
        <is>
          <t>180-day lock-up; 3.0% of listed equity</t>
        </is>
      </c>
      <c r="H3" t="n">
        <v>0</v>
      </c>
      <c r="I3" t="inlineStr">
        <is>
          <t>no</t>
        </is>
      </c>
    </row>
    <row r="4">
      <c r="A4" t="inlineStr">
        <is>
          <t>Halcyra</t>
        </is>
      </c>
      <c r="B4" t="inlineStr">
        <is>
          <t>acquirer_shares</t>
        </is>
      </c>
      <c r="C4" s="19" t="n">
        <v>46407</v>
      </c>
      <c r="D4" t="inlineStr">
        <is>
          <t>Q1 2027</t>
        </is>
      </c>
      <c r="E4" s="19" t="n"/>
      <c r="F4" t="n">
        <v>4.615</v>
      </c>
      <c r="G4" t="inlineStr">
        <is>
          <t>Shares of acquirer received on $65.0M deal; All-stock consideration; the buyer is privately held.</t>
        </is>
      </c>
      <c r="H4" t="n">
        <v>0</v>
      </c>
      <c r="I4" t="inlineStr">
        <is>
          <t>no</t>
        </is>
      </c>
    </row>
    <row r="5">
      <c r="A5" t="inlineStr">
        <is>
          <t>Jettamar</t>
        </is>
      </c>
      <c r="B5" t="inlineStr">
        <is>
          <t>pending_acquisition</t>
        </is>
      </c>
      <c r="C5" s="19" t="n">
        <v>46350</v>
      </c>
      <c r="D5" t="inlineStr">
        <is>
          <t>Q4 2026</t>
        </is>
      </c>
      <c r="E5" s="19" t="n"/>
      <c r="F5" t="n">
        <v>90</v>
      </c>
      <c r="G5" t="inlineStr">
        <is>
          <t>Expected to close in Q1 2027, subject to regulatory approval. No cash received.</t>
        </is>
      </c>
      <c r="H5" t="n">
        <v>1</v>
      </c>
      <c r="I5" t="inlineStr">
        <is>
          <t>no</t>
        </is>
      </c>
    </row>
    <row r="6">
      <c r="A6" t="inlineStr">
        <is>
          <t>Knollward</t>
        </is>
      </c>
      <c r="B6" t="inlineStr">
        <is>
          <t>unconfirmed_exit</t>
        </is>
      </c>
      <c r="C6" s="19" t="n">
        <v>46438</v>
      </c>
      <c r="D6" t="inlineStr">
        <is>
          <t>Q1 2027</t>
        </is>
      </c>
      <c r="E6" s="19" t="n"/>
      <c r="F6" t="n">
        <v>30</v>
      </c>
      <c r="G6" t="inlineStr">
        <is>
          <t>exit closed 2027-02-20 at $30.0M with no cash recorded; record the closing with its proceeds when the cash arrives, or write the position to zero</t>
        </is>
      </c>
      <c r="H6" t="n">
        <v>0</v>
      </c>
      <c r="I6"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30" customHeight="1">
      <c r="A1" s="1" t="inlineStr">
        <is>
          <t>Company</t>
        </is>
      </c>
      <c r="B1" s="1" t="inlineStr">
        <is>
          <t>Note</t>
        </is>
      </c>
    </row>
    <row r="2">
      <c r="A2" t="inlineStr">
        <is>
          <t>Fernwave</t>
        </is>
      </c>
      <c r="B2" t="inlineStr">
        <is>
          <t>Prior Mark $66.00M departs from ownership × last-round post-money (3.0% × $2400.00M = $72.00M): committee override booked $66.00M vs proposed $72.00M (E-01).</t>
        </is>
      </c>
    </row>
    <row r="3">
      <c r="A3" t="inlineStr">
        <is>
          <t>Jettamar</t>
        </is>
      </c>
      <c r="B3" t="inlineStr">
        <is>
          <t>Prior Mark $9.47M departs from ownership × last-round post-money (11.1% × $43.00M = $4.77M): booked mark does not reconcile to ownership × last-round post-money.</t>
        </is>
      </c>
    </row>
    <row r="4">
      <c r="A4" t="inlineStr">
        <is>
          <t>Umberly</t>
        </is>
      </c>
      <c r="B4" t="inlineStr">
        <is>
          <t>Prior Mark $0.00M departs from ownership × last-round post-money (7.5% × $180.00M = $13.50M): committee override booked $0.00M vs proposed $24.10M (E-01); equity mark $24.10M set by M-025, not ownership × last round.</t>
        </is>
      </c>
    </row>
    <row r="5">
      <c r="A5" t="inlineStr">
        <is>
          <t>Drayvenn</t>
        </is>
      </c>
      <c r="B5" t="inlineStr">
        <is>
          <t>Prior Mark $109.20M departs from ownership × last-round post-money (2.8% × $3931.00M = $110.07M): committee override booked $109.20M vs proposed $110.07M (E-01).</t>
        </is>
      </c>
    </row>
    <row r="6">
      <c r="A6" t="inlineStr">
        <is>
          <t>Birchhollow</t>
        </is>
      </c>
      <c r="B6" t="inlineStr">
        <is>
          <t>Prior Mark $28.14M departs from ownership × last-round post-money (2.9% × $1494.50M = $43.34M): committee override booked $28.14M vs proposed $28.14M (E-01).</t>
        </is>
      </c>
    </row>
    <row r="7">
      <c r="A7" t="inlineStr">
        <is>
          <t>Knollward</t>
        </is>
      </c>
      <c r="B7" t="inlineStr">
        <is>
          <t>Exit recorded as Acquired in the quarter with no cash received; the committee held $48.80M rather than writing the position off, so it rolls forward as Active at that value with an 'unconfirmed exit' open item. Record the closing with its proceeds when the cash arrives, or write it to zero.</t>
        </is>
      </c>
    </row>
    <row r="8">
      <c r="A8" t="inlineStr">
        <is>
          <t>Pellagrin</t>
        </is>
      </c>
      <c r="B8" t="inlineStr">
        <is>
          <t>same-terms extension on 2026-08-11 is not price discovery; the staleness clock runs from 2021-10-08</t>
        </is>
      </c>
    </row>
    <row r="9">
      <c r="A9" t="inlineStr">
        <is>
          <t>Foxtrellis</t>
        </is>
      </c>
      <c r="B9" t="inlineStr">
        <is>
          <t>same-terms extension on 2027-02-10 is not price discovery; the staleness clock runs from 2023-10-14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2" customWidth="1" min="1" max="1"/>
    <col width="20" customWidth="1" min="2" max="2"/>
    <col width="12" customWidth="1" min="3" max="3"/>
    <col width="12" customWidth="1" min="4" max="4"/>
    <col width="90" customWidth="1" min="5" max="5"/>
  </cols>
  <sheetData>
    <row r="1">
      <c r="A1" t="inlineStr">
        <is>
          <t>Company</t>
        </is>
      </c>
      <c r="B1" t="inlineStr">
        <is>
          <t>Column</t>
        </is>
      </c>
      <c r="C1" t="inlineStr">
        <is>
          <t>Was</t>
        </is>
      </c>
      <c r="D1" t="inlineStr">
        <is>
          <t>Now</t>
        </is>
      </c>
      <c r="E1" t="inlineStr">
        <is>
          <t>Why (the case this edit builds)</t>
        </is>
      </c>
    </row>
    <row r="2">
      <c r="A2" t="inlineStr">
        <is>
          <t>Northquill</t>
        </is>
      </c>
      <c r="B2" t="inlineStr">
        <is>
          <t>Cash ($M)</t>
        </is>
      </c>
      <c r="C2" t="n">
        <v>6.99</v>
      </c>
      <c r="D2" t="n">
        <v>1</v>
      </c>
      <c r="E2" t="inlineStr">
        <is>
          <t>with burn 1.0 → runway 1.0, aged 0.0</t>
        </is>
      </c>
    </row>
    <row r="3">
      <c r="A3" t="inlineStr">
        <is>
          <t>Stonegather</t>
        </is>
      </c>
      <c r="B3" t="inlineStr">
        <is>
          <t>Cash ($M)</t>
        </is>
      </c>
      <c r="C3" t="n">
        <v>1.4</v>
      </c>
      <c r="D3" t="n">
        <v>0</v>
      </c>
      <c r="E3" t="inlineStr">
        <is>
          <t>no cash: runway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2026-09-07T10:12:25Z</dcterms:created>
  <dcterms:modified xsi:type="dcterms:W3CDTF">2026-09-07T10:12:26Z</dcterms:modified>
</cp:coreProperties>
</file>